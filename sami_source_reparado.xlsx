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0300" tabRatio="699" firstSheet="1" activeTab="1" autoFilterDateGrouping="1"/>
  </bookViews>
  <sheets>
    <sheet xmlns:r="http://schemas.openxmlformats.org/officeDocument/2006/relationships" name="Resumen" sheetId="1" state="hidden" r:id="rId1"/>
    <sheet xmlns:r="http://schemas.openxmlformats.org/officeDocument/2006/relationships" name="Telecomunicaciones" sheetId="2" state="visible" r:id="rId2"/>
    <sheet xmlns:r="http://schemas.openxmlformats.org/officeDocument/2006/relationships" name="Telefonia" sheetId="3" state="visible" r:id="rId3"/>
    <sheet xmlns:r="http://schemas.openxmlformats.org/officeDocument/2006/relationships" name="Seguridad Informatica" sheetId="4" state="visible" r:id="rId4"/>
    <sheet xmlns:r="http://schemas.openxmlformats.org/officeDocument/2006/relationships" name="Servidores" sheetId="5" state="visible" r:id="rId5"/>
    <sheet xmlns:r="http://schemas.openxmlformats.org/officeDocument/2006/relationships" name="Correo" sheetId="6" state="visible" r:id="rId6"/>
    <sheet xmlns:r="http://schemas.openxmlformats.org/officeDocument/2006/relationships" name="Internet" sheetId="7" state="visible" r:id="rId7"/>
    <sheet xmlns:r="http://schemas.openxmlformats.org/officeDocument/2006/relationships" name="Portales" sheetId="8" state="visible" r:id="rId8"/>
    <sheet xmlns:r="http://schemas.openxmlformats.org/officeDocument/2006/relationships" name="Hoja1 (2)" sheetId="9" state="hidden" r:id="rId9"/>
    <sheet xmlns:r="http://schemas.openxmlformats.org/officeDocument/2006/relationships" name="SAP" sheetId="10" state="hidden" r:id="rId10"/>
    <sheet xmlns:r="http://schemas.openxmlformats.org/officeDocument/2006/relationships" name="Intranet" sheetId="11" state="hidden" r:id="rId11"/>
    <sheet xmlns:r="http://schemas.openxmlformats.org/officeDocument/2006/relationships" name="Data Center" sheetId="12" state="hidden" r:id="rId12"/>
    <sheet xmlns:r="http://schemas.openxmlformats.org/officeDocument/2006/relationships" name="Datos" sheetId="13" state="hidden" r:id="rId13"/>
    <sheet xmlns:r="http://schemas.openxmlformats.org/officeDocument/2006/relationships" name="Hoja1" sheetId="14" state="hidden" r:id="rId14"/>
  </sheets>
  <externalReferences>
    <externalReference xmlns:r="http://schemas.openxmlformats.org/officeDocument/2006/relationships" r:id="rId15"/>
  </externalReferences>
  <definedNames>
    <definedName name="Mes">#REF!</definedName>
    <definedName name="_GoBack" localSheetId="1">Telecomunicaciones!#REF!</definedName>
    <definedName name="_xlnm._FilterDatabase" localSheetId="1" hidden="1">'Telecomunicaciones'!$A$2:$O$102</definedName>
    <definedName name="_GoBack" localSheetId="4">Servidores!#REF!</definedName>
    <definedName name="_GoBack" localSheetId="6">Internet!#REF!</definedName>
    <definedName name="_xlnm._FilterDatabase" localSheetId="6" hidden="1">'Internet'!$B$2:$O$39</definedName>
    <definedName name="_GoBack" localSheetId="7">Portales!#REF!</definedName>
    <definedName name="_xlnm._FilterDatabase" localSheetId="7" hidden="1">'Portales'!$B$2:$M$37</definedName>
    <definedName name="_GoBack" localSheetId="11">'Data Center'!#REF!</definedName>
    <definedName name="_xlnm._FilterDatabase" localSheetId="11" hidden="1">'Data Center'!$B$2:$M$39</definedName>
  </definedNames>
  <calcPr calcId="191028" fullCalcOnLoad="1"/>
</workbook>
</file>

<file path=xl/styles.xml><?xml version="1.0" encoding="utf-8"?>
<styleSheet xmlns="http://schemas.openxmlformats.org/spreadsheetml/2006/main">
  <numFmts count="2">
    <numFmt numFmtId="164" formatCode="[h]\ &quot;hh&quot;\ :\ mm\ &quot;mm&quot;"/>
    <numFmt numFmtId="165" formatCode="0.000%"/>
  </numFmts>
  <fonts count="47">
    <font>
      <name val="Calibri"/>
      <family val="2"/>
      <color theme="1"/>
      <sz val="11"/>
      <scheme val="minor"/>
    </font>
    <font>
      <name val="Calibri"/>
      <family val="2"/>
      <color rgb="FF000000"/>
      <sz val="11"/>
    </font>
    <font>
      <name val="Calibri"/>
      <family val="2"/>
      <b val="1"/>
      <color theme="1"/>
      <sz val="11"/>
      <scheme val="minor"/>
    </font>
    <font>
      <name val="Verdana"/>
      <family val="2"/>
      <color theme="1"/>
      <sz val="10"/>
    </font>
    <font>
      <name val="Calibri"/>
      <family val="2"/>
      <sz val="11"/>
      <scheme val="minor"/>
    </font>
    <font>
      <name val="Calibri"/>
      <family val="2"/>
      <sz val="11"/>
    </font>
    <font>
      <name val="Arial"/>
      <family val="2"/>
      <color theme="1"/>
      <sz val="11"/>
    </font>
    <font>
      <name val="Arial"/>
      <family val="2"/>
      <sz val="11"/>
    </font>
    <font>
      <name val="Calibri"/>
      <family val="2"/>
      <color theme="1"/>
      <sz val="12"/>
      <scheme val="minor"/>
    </font>
    <font>
      <name val="Arial"/>
      <family val="2"/>
      <color rgb="FFFF0000"/>
      <sz val="11"/>
    </font>
    <font>
      <name val="Calibri"/>
      <family val="2"/>
      <color rgb="FFFF0000"/>
      <sz val="11"/>
      <scheme val="minor"/>
    </font>
    <font>
      <name val="Calibri"/>
      <family val="2"/>
      <color theme="10"/>
      <sz val="11"/>
      <u val="single"/>
      <scheme val="minor"/>
    </font>
    <font>
      <name val="Trebuchet MS"/>
      <family val="2"/>
      <b val="1"/>
      <color theme="1"/>
      <sz val="11"/>
    </font>
    <font>
      <name val="Trebuchet MS"/>
      <family val="2"/>
      <b val="1"/>
      <color theme="0"/>
      <sz val="10"/>
    </font>
    <font>
      <name val="Trebuchet MS"/>
      <family val="2"/>
      <b val="1"/>
      <color theme="1"/>
      <sz val="12"/>
    </font>
    <font>
      <name val="Trebuchet MS"/>
      <family val="2"/>
      <color theme="1"/>
      <sz val="10"/>
    </font>
    <font>
      <name val="Verdana"/>
      <family val="2"/>
      <color theme="1"/>
      <sz val="9"/>
    </font>
    <font>
      <name val="Calibri"/>
      <family val="2"/>
      <color rgb="FF002060"/>
      <sz val="11"/>
      <scheme val="minor"/>
    </font>
    <font>
      <name val="Trebuchet MS"/>
      <family val="2"/>
      <b val="1"/>
      <color theme="1"/>
      <sz val="20"/>
    </font>
    <font>
      <name val="Trebuchet MS"/>
      <family val="2"/>
      <b val="1"/>
      <color rgb="FF002060"/>
      <sz val="20"/>
    </font>
    <font>
      <name val="Trebuchet MS"/>
      <family val="2"/>
      <b val="1"/>
      <sz val="12"/>
    </font>
    <font>
      <name val="Arial"/>
      <family val="2"/>
      <b val="1"/>
      <color theme="0"/>
      <sz val="10"/>
    </font>
    <font>
      <name val="Calibri"/>
      <family val="2"/>
      <color theme="10"/>
      <sz val="13"/>
      <u val="single"/>
      <scheme val="minor"/>
    </font>
    <font>
      <name val="Trebuchet MS"/>
      <family val="2"/>
      <color theme="10"/>
      <sz val="13"/>
      <u val="single"/>
    </font>
    <font>
      <name val="Trebuchet MS"/>
      <family val="2"/>
      <b val="1"/>
      <color rgb="FF002060"/>
      <sz val="36"/>
    </font>
    <font>
      <name val="Calibri"/>
      <family val="2"/>
      <b val="1"/>
      <color theme="0"/>
      <sz val="11"/>
      <scheme val="minor"/>
    </font>
    <font>
      <name val="Verdana"/>
      <family val="2"/>
      <b val="1"/>
      <sz val="10"/>
    </font>
    <font>
      <name val="Verdana"/>
      <family val="2"/>
      <b val="1"/>
      <color theme="0"/>
      <sz val="10"/>
    </font>
    <font>
      <name val="Calibri"/>
      <family val="2"/>
      <color rgb="FF000000"/>
      <sz val="11"/>
      <scheme val="minor"/>
    </font>
    <font>
      <name val="Calibri"/>
      <family val="2"/>
      <color rgb="FF1F497D"/>
      <sz val="11"/>
      <scheme val="minor"/>
    </font>
    <font>
      <name val="Calibri Light"/>
      <family val="2"/>
      <color theme="1"/>
      <sz val="11"/>
      <scheme val="major"/>
    </font>
    <font>
      <name val="Calibri"/>
      <family val="2"/>
      <sz val="8"/>
      <scheme val="minor"/>
    </font>
    <font>
      <name val="Arial"/>
      <family val="2"/>
      <color rgb="FF000000"/>
      <sz val="9"/>
    </font>
    <font>
      <name val="Arial"/>
      <family val="2"/>
      <b val="1"/>
      <color theme="0"/>
      <sz val="12"/>
    </font>
    <font>
      <name val="Calibri"/>
      <family val="2"/>
      <b val="1"/>
      <color theme="0"/>
      <sz val="12"/>
      <scheme val="minor"/>
    </font>
    <font>
      <name val="Calibri"/>
      <family val="2"/>
      <sz val="12"/>
      <scheme val="minor"/>
    </font>
    <font>
      <name val="Calibri"/>
      <family val="2"/>
      <color rgb="FF000000"/>
      <sz val="12"/>
      <scheme val="minor"/>
    </font>
    <font>
      <name val="Calibri"/>
      <family val="2"/>
      <color rgb="FFFF0000"/>
      <sz val="12"/>
      <scheme val="minor"/>
    </font>
    <font>
      <name val="Calibri"/>
      <family val="2"/>
      <b val="1"/>
      <color rgb="FF000000"/>
      <sz val="12"/>
      <scheme val="minor"/>
    </font>
    <font>
      <name val="Calibri"/>
      <family val="2"/>
      <b val="1"/>
      <color rgb="FF002060"/>
      <sz val="36"/>
      <scheme val="minor"/>
    </font>
    <font>
      <name val="Calibri"/>
      <family val="2"/>
      <color rgb="FF002060"/>
      <sz val="12"/>
      <scheme val="minor"/>
    </font>
    <font>
      <name val="Calibri"/>
      <family val="2"/>
      <color rgb="FF1F497D"/>
      <sz val="12"/>
      <scheme val="minor"/>
    </font>
    <font>
      <name val="Calibri"/>
      <family val="2"/>
      <color theme="1"/>
      <sz val="9"/>
      <scheme val="minor"/>
    </font>
    <font>
      <name val="Arial"/>
      <family val="2"/>
      <sz val="12"/>
    </font>
    <font>
      <name val="Calibri"/>
      <family val="2"/>
      <color rgb="FFC00000"/>
      <sz val="12"/>
      <scheme val="minor"/>
    </font>
    <font>
      <name val="Verdana"/>
      <family val="2"/>
      <color rgb="FF000000"/>
      <sz val="9"/>
    </font>
    <font>
      <name val="Arial"/>
      <family val="2"/>
      <color rgb="FF000000"/>
      <sz val="12"/>
    </font>
  </fonts>
  <fills count="10">
    <fill>
      <patternFill/>
    </fill>
    <fill>
      <patternFill patternType="gray125"/>
    </fill>
    <fill>
      <patternFill patternType="solid">
        <fgColor theme="0"/>
        <bgColor indexed="64"/>
      </patternFill>
    </fill>
    <fill>
      <patternFill patternType="solid">
        <fgColor indexed="65"/>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tint="-0.499984740745262"/>
        <bgColor indexed="64"/>
      </patternFill>
    </fill>
    <fill>
      <patternFill patternType="solid">
        <fgColor theme="0" tint="-0.1499984740745262"/>
        <bgColor indexed="64"/>
      </patternFill>
    </fill>
    <fill>
      <patternFill patternType="solid">
        <fgColor rgb="FFFFFF00"/>
        <bgColor indexed="64"/>
      </patternFill>
    </fill>
    <fill>
      <patternFill patternType="solid">
        <fgColor theme="9"/>
        <bgColor indexed="64"/>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double">
        <color theme="3" tint="0.7999816888943144"/>
      </left>
      <right style="double">
        <color theme="3" tint="0.7999816888943144"/>
      </right>
      <top style="double">
        <color theme="3" tint="0.7999816888943144"/>
      </top>
      <bottom style="double">
        <color theme="3" tint="0.7999511703848384"/>
      </bottom>
      <diagonal/>
    </border>
    <border>
      <left style="double">
        <color theme="3" tint="0.7999816888943144"/>
      </left>
      <right/>
      <top style="double">
        <color theme="3" tint="0.7999816888943144"/>
      </top>
      <bottom style="double">
        <color theme="3" tint="0.7999511703848384"/>
      </bottom>
      <diagonal/>
    </border>
    <border>
      <left/>
      <right style="double">
        <color theme="3" tint="0.7999816888943144"/>
      </right>
      <top style="double">
        <color theme="3" tint="0.7999816888943144"/>
      </top>
      <bottom style="double">
        <color theme="3" tint="0.7999511703848384"/>
      </bottom>
      <diagonal/>
    </border>
    <border>
      <left style="double">
        <color theme="3" tint="0.7999816888943144"/>
      </left>
      <right style="double">
        <color theme="3" tint="0.7999816888943144"/>
      </right>
      <top style="double">
        <color theme="3" tint="0.7999816888943144"/>
      </top>
      <bottom/>
      <diagonal/>
    </border>
    <border>
      <left/>
      <right/>
      <top/>
      <bottom style="double">
        <color theme="3" tint="0.7999816888943144"/>
      </bottom>
      <diagonal/>
    </border>
    <border>
      <left style="double">
        <color theme="4" tint="0.5999633777886288"/>
      </left>
      <right style="double">
        <color theme="4" tint="0.5999633777886288"/>
      </right>
      <top style="double">
        <color theme="4" tint="0.5999633777886288"/>
      </top>
      <bottom style="double">
        <color theme="4" tint="0.5999633777886288"/>
      </bottom>
      <diagonal/>
    </border>
    <border>
      <left style="double">
        <color theme="4" tint="0.5999633777886288"/>
      </left>
      <right/>
      <top style="double">
        <color theme="4" tint="0.5999633777886288"/>
      </top>
      <bottom style="double">
        <color theme="4" tint="0.5999633777886288"/>
      </bottom>
      <diagonal/>
    </border>
    <border>
      <left/>
      <right style="double">
        <color theme="4" tint="0.5999633777886288"/>
      </right>
      <top style="double">
        <color theme="4" tint="0.5999633777886288"/>
      </top>
      <bottom style="double">
        <color theme="4" tint="0.5999633777886288"/>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diagonal/>
    </border>
    <border>
      <left/>
      <right/>
      <top style="thin">
        <color indexed="64"/>
      </top>
      <bottom/>
      <diagonal/>
    </border>
    <border>
      <left style="thin">
        <color indexed="64"/>
      </left>
      <right/>
      <top/>
      <bottom/>
      <diagonal/>
    </border>
    <border>
      <left/>
      <right/>
      <top style="double">
        <color theme="3" tint="0.7999816888943144"/>
      </top>
      <bottom/>
      <diagonal/>
    </border>
    <border>
      <left/>
      <right style="double">
        <color theme="3" tint="0.7999816888943144"/>
      </right>
      <top style="double">
        <color theme="3" tint="0.7999816888943144"/>
      </top>
      <bottom/>
      <diagonal/>
    </border>
    <border>
      <left style="medium">
        <color indexed="64"/>
      </left>
      <right style="thin">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uble">
        <color theme="4" tint="0.5999633777886288"/>
      </top>
      <bottom/>
      <diagonal/>
    </border>
    <border>
      <left/>
      <right style="double">
        <color theme="4" tint="0.5999633777886288"/>
      </right>
      <top style="double">
        <color theme="4" tint="0.5999633777886288"/>
      </top>
      <bottom/>
      <diagonal/>
    </border>
  </borders>
  <cellStyleXfs count="2">
    <xf numFmtId="0" fontId="0" fillId="0" borderId="0"/>
    <xf numFmtId="0" fontId="11" fillId="0" borderId="0"/>
  </cellStyleXfs>
  <cellXfs count="369">
    <xf numFmtId="0" fontId="0" fillId="0" borderId="0" pivotButton="0" quotePrefix="0" xfId="0"/>
    <xf numFmtId="0" fontId="3" fillId="0" borderId="1" applyAlignment="1" pivotButton="0" quotePrefix="0" xfId="0">
      <alignment horizontal="left" vertical="top"/>
    </xf>
    <xf numFmtId="0" fontId="0" fillId="0" borderId="1" pivotButton="0" quotePrefix="0" xfId="0"/>
    <xf numFmtId="0" fontId="3" fillId="0" borderId="2" applyAlignment="1" pivotButton="0" quotePrefix="0" xfId="0">
      <alignment horizontal="left" vertical="top"/>
    </xf>
    <xf numFmtId="0" fontId="0" fillId="0" borderId="1" applyAlignment="1" pivotButton="0" quotePrefix="0" xfId="0">
      <alignment horizontal="left" vertical="center"/>
    </xf>
    <xf numFmtId="0" fontId="0" fillId="0" borderId="1" applyAlignment="1" pivotButton="0" quotePrefix="0" xfId="0">
      <alignment horizontal="justify" vertical="center"/>
    </xf>
    <xf numFmtId="0" fontId="6" fillId="0" borderId="0" applyAlignment="1" pivotButton="0" quotePrefix="0" xfId="0">
      <alignment horizontal="center" vertical="center"/>
    </xf>
    <xf numFmtId="0" fontId="0" fillId="0" borderId="1" applyAlignment="1" pivotButton="0" quotePrefix="0" xfId="0">
      <alignment horizontal="left"/>
    </xf>
    <xf numFmtId="0" fontId="0" fillId="0" borderId="2" applyAlignment="1" pivotButton="0" quotePrefix="0" xfId="0">
      <alignment horizontal="left" vertical="center"/>
    </xf>
    <xf numFmtId="0" fontId="4" fillId="0" borderId="1" pivotButton="0" quotePrefix="0" xfId="0"/>
    <xf numFmtId="0" fontId="6" fillId="0" borderId="0" pivotButton="0" quotePrefix="0" xfId="0"/>
    <xf numFmtId="0" fontId="6" fillId="0" borderId="0" applyAlignment="1" pivotButton="0" quotePrefix="0" xfId="0">
      <alignment horizontal="left"/>
    </xf>
    <xf numFmtId="0" fontId="2" fillId="0" borderId="0" pivotButton="0" quotePrefix="0" xfId="0"/>
    <xf numFmtId="0" fontId="1" fillId="3" borderId="1" applyAlignment="1" pivotButton="0" quotePrefix="0" xfId="0">
      <alignment vertical="center"/>
    </xf>
    <xf numFmtId="0" fontId="1" fillId="2" borderId="1" applyAlignment="1" pivotButton="0" quotePrefix="0" xfId="0">
      <alignment vertical="center"/>
    </xf>
    <xf numFmtId="0" fontId="5" fillId="2" borderId="1" applyAlignment="1" pivotButton="0" quotePrefix="0" xfId="0">
      <alignment vertical="center"/>
    </xf>
    <xf numFmtId="0" fontId="4" fillId="2" borderId="1" pivotButton="0" quotePrefix="0" xfId="0"/>
    <xf numFmtId="0" fontId="6" fillId="2" borderId="1" pivotButton="0" quotePrefix="0" xfId="0"/>
    <xf numFmtId="0" fontId="8" fillId="0" borderId="1" applyAlignment="1" pivotButton="0" quotePrefix="0" xfId="0">
      <alignment horizontal="center" vertical="center"/>
    </xf>
    <xf numFmtId="0" fontId="4" fillId="0" borderId="1" applyAlignment="1" pivotButton="0" quotePrefix="0" xfId="0">
      <alignment horizontal="center"/>
    </xf>
    <xf numFmtId="22" fontId="0" fillId="0" borderId="1" applyAlignment="1" pivotButton="0" quotePrefix="0" xfId="0">
      <alignment horizontal="left"/>
    </xf>
    <xf numFmtId="0" fontId="0" fillId="2" borderId="1" pivotButton="0" quotePrefix="0" xfId="0"/>
    <xf numFmtId="0" fontId="0" fillId="2" borderId="1" applyAlignment="1" pivotButton="0" quotePrefix="0" xfId="0">
      <alignment horizontal="center"/>
    </xf>
    <xf numFmtId="0" fontId="0" fillId="2" borderId="1" applyAlignment="1" pivotButton="0" quotePrefix="0" xfId="0">
      <alignment horizontal="left"/>
    </xf>
    <xf numFmtId="0" fontId="0" fillId="3" borderId="0" pivotButton="0" quotePrefix="0" xfId="0"/>
    <xf numFmtId="0" fontId="0" fillId="3" borderId="9" applyAlignment="1" pivotButton="0" quotePrefix="0" xfId="0">
      <alignment vertical="top" wrapText="1"/>
    </xf>
    <xf numFmtId="0" fontId="0" fillId="3" borderId="1" applyAlignment="1" pivotButton="0" quotePrefix="0" xfId="0">
      <alignment vertical="top" wrapText="1"/>
    </xf>
    <xf numFmtId="0" fontId="0" fillId="3" borderId="14" applyAlignment="1" pivotButton="0" quotePrefix="0" xfId="0">
      <alignment vertical="top" wrapText="1"/>
    </xf>
    <xf numFmtId="0" fontId="0" fillId="3" borderId="9" applyAlignment="1" pivotButton="0" quotePrefix="0" xfId="0">
      <alignment horizontal="left" vertical="top" wrapText="1"/>
    </xf>
    <xf numFmtId="0" fontId="0" fillId="3" borderId="1" applyAlignment="1" pivotButton="0" quotePrefix="0" xfId="0">
      <alignment horizontal="left" vertical="top" wrapText="1"/>
    </xf>
    <xf numFmtId="0" fontId="0" fillId="3" borderId="14" applyAlignment="1" pivotButton="0" quotePrefix="0" xfId="0">
      <alignment horizontal="left" vertical="top"/>
    </xf>
    <xf numFmtId="0" fontId="0" fillId="5" borderId="9" applyAlignment="1" pivotButton="0" quotePrefix="0" xfId="0">
      <alignment vertical="top" wrapText="1"/>
    </xf>
    <xf numFmtId="0" fontId="0" fillId="5" borderId="1" applyAlignment="1" pivotButton="0" quotePrefix="0" xfId="0">
      <alignment vertical="top" wrapText="1"/>
    </xf>
    <xf numFmtId="0" fontId="0" fillId="5" borderId="14" applyAlignment="1" pivotButton="0" quotePrefix="0" xfId="0">
      <alignment vertical="top" wrapText="1"/>
    </xf>
    <xf numFmtId="0" fontId="14" fillId="5" borderId="1" applyAlignment="1" pivotButton="0" quotePrefix="0" xfId="0">
      <alignment horizontal="center"/>
    </xf>
    <xf numFmtId="0" fontId="14" fillId="5" borderId="3" applyAlignment="1" pivotButton="0" quotePrefix="0" xfId="0">
      <alignment horizontal="center"/>
    </xf>
    <xf numFmtId="0" fontId="14" fillId="5" borderId="2" applyAlignment="1" pivotButton="0" quotePrefix="0" xfId="0">
      <alignment horizontal="center"/>
    </xf>
    <xf numFmtId="0" fontId="2" fillId="3" borderId="9" applyAlignment="1" pivotButton="0" quotePrefix="0" xfId="0">
      <alignment horizontal="right" vertical="top" wrapText="1"/>
    </xf>
    <xf numFmtId="0" fontId="2" fillId="3" borderId="1" applyAlignment="1" pivotButton="0" quotePrefix="0" xfId="0">
      <alignment horizontal="right" vertical="center" wrapText="1"/>
    </xf>
    <xf numFmtId="2" fontId="2" fillId="3" borderId="1" applyAlignment="1" pivotButton="0" quotePrefix="0" xfId="0">
      <alignment horizontal="right" vertical="top" wrapText="1"/>
    </xf>
    <xf numFmtId="2" fontId="2" fillId="3" borderId="14" applyAlignment="1" pivotButton="0" quotePrefix="0" xfId="0">
      <alignment horizontal="right" vertical="top" wrapText="1"/>
    </xf>
    <xf numFmtId="0" fontId="2" fillId="5" borderId="9" applyAlignment="1" pivotButton="0" quotePrefix="0" xfId="0">
      <alignment horizontal="right" vertical="top" wrapText="1"/>
    </xf>
    <xf numFmtId="0" fontId="2" fillId="5" borderId="1" applyAlignment="1" pivotButton="0" quotePrefix="0" xfId="0">
      <alignment horizontal="right" vertical="center" wrapText="1"/>
    </xf>
    <xf numFmtId="2" fontId="2" fillId="5" borderId="1" applyAlignment="1" pivotButton="0" quotePrefix="0" xfId="0">
      <alignment horizontal="right" vertical="top" wrapText="1"/>
    </xf>
    <xf numFmtId="2" fontId="2" fillId="5" borderId="14" applyAlignment="1" pivotButton="0" quotePrefix="0" xfId="0">
      <alignment horizontal="right" vertical="top" wrapText="1"/>
    </xf>
    <xf numFmtId="0" fontId="21" fillId="4" borderId="18" applyAlignment="1" pivotButton="0" quotePrefix="0" xfId="0">
      <alignment horizontal="center" vertical="center"/>
    </xf>
    <xf numFmtId="0" fontId="21" fillId="4" borderId="18" applyAlignment="1" pivotButton="0" quotePrefix="0" xfId="0">
      <alignment horizontal="center" vertical="center" wrapText="1"/>
    </xf>
    <xf numFmtId="0" fontId="13" fillId="6" borderId="1" applyAlignment="1" pivotButton="0" quotePrefix="0" xfId="0">
      <alignment horizontal="center"/>
    </xf>
    <xf numFmtId="0" fontId="21" fillId="4" borderId="21" applyAlignment="1" pivotButton="0" quotePrefix="0" xfId="0">
      <alignment horizontal="center" vertical="center"/>
    </xf>
    <xf numFmtId="0" fontId="17" fillId="2" borderId="1" applyAlignment="1" pivotButton="0" quotePrefix="0" xfId="0">
      <alignment horizontal="center" vertical="center"/>
    </xf>
    <xf numFmtId="2" fontId="0" fillId="2" borderId="1" applyAlignment="1" pivotButton="0" quotePrefix="0" xfId="0">
      <alignment horizontal="center" vertical="center"/>
    </xf>
    <xf numFmtId="164" fontId="0" fillId="2" borderId="1" applyAlignment="1" pivotButton="0" quotePrefix="0" xfId="0">
      <alignment horizontal="center" vertical="center"/>
    </xf>
    <xf numFmtId="0" fontId="4" fillId="2" borderId="1" applyAlignment="1" pivotButton="0" quotePrefix="0" xfId="0">
      <alignment horizontal="center" vertical="center"/>
    </xf>
    <xf numFmtId="0" fontId="0" fillId="2" borderId="1" applyAlignment="1" pivotButton="0" quotePrefix="0" xfId="0">
      <alignment horizontal="center" vertical="center"/>
    </xf>
    <xf numFmtId="0" fontId="4" fillId="2" borderId="1" applyAlignment="1" pivotButton="0" quotePrefix="0" xfId="0">
      <alignment vertical="center"/>
    </xf>
    <xf numFmtId="0" fontId="4" fillId="2" borderId="1" applyAlignment="1" pivotButton="0" quotePrefix="0" xfId="0">
      <alignment horizontal="left" vertical="center"/>
    </xf>
    <xf numFmtId="22" fontId="0" fillId="2" borderId="1" applyAlignment="1" pivotButton="0" quotePrefix="0" xfId="0">
      <alignment horizontal="left" vertical="center"/>
    </xf>
    <xf numFmtId="0" fontId="0" fillId="2" borderId="1" applyAlignment="1" pivotButton="0" quotePrefix="0" xfId="0">
      <alignment horizontal="left" vertical="top" wrapText="1"/>
    </xf>
    <xf numFmtId="0" fontId="0" fillId="2" borderId="1" applyAlignment="1" pivotButton="0" quotePrefix="0" xfId="0">
      <alignment vertical="center"/>
    </xf>
    <xf numFmtId="22" fontId="0" fillId="2" borderId="1" applyAlignment="1" pivotButton="0" quotePrefix="0" xfId="0">
      <alignment horizontal="center" vertical="center"/>
    </xf>
    <xf numFmtId="0" fontId="6" fillId="2" borderId="0" pivotButton="0" quotePrefix="0" xfId="0"/>
    <xf numFmtId="0" fontId="7" fillId="2" borderId="0" pivotButton="0" quotePrefix="0" xfId="0"/>
    <xf numFmtId="0" fontId="9" fillId="2" borderId="0" pivotButton="0" quotePrefix="0" xfId="0"/>
    <xf numFmtId="22" fontId="4" fillId="2" borderId="1" applyAlignment="1" pivotButton="0" quotePrefix="0" xfId="0">
      <alignment horizontal="left" vertical="center"/>
    </xf>
    <xf numFmtId="0" fontId="4" fillId="2" borderId="1" applyAlignment="1" pivotButton="0" quotePrefix="0" xfId="0">
      <alignment horizontal="left" vertical="top" wrapText="1"/>
    </xf>
    <xf numFmtId="0" fontId="0" fillId="2" borderId="1" applyAlignment="1" pivotButton="0" quotePrefix="0" xfId="0">
      <alignment horizontal="left" vertical="center"/>
    </xf>
    <xf numFmtId="22" fontId="4" fillId="2" borderId="1" applyAlignment="1" pivotButton="0" quotePrefix="0" xfId="0">
      <alignment horizontal="center" vertical="center"/>
    </xf>
    <xf numFmtId="0" fontId="16" fillId="2" borderId="1" applyAlignment="1" pivotButton="0" quotePrefix="0" xfId="0">
      <alignment horizontal="left" vertical="top" wrapText="1"/>
    </xf>
    <xf numFmtId="0" fontId="4" fillId="2" borderId="0" applyAlignment="1" pivotButton="0" quotePrefix="0" xfId="0">
      <alignment vertical="center"/>
    </xf>
    <xf numFmtId="0" fontId="4" fillId="2" borderId="0" applyAlignment="1" pivotButton="0" quotePrefix="0" xfId="0">
      <alignment horizontal="center" vertical="center"/>
    </xf>
    <xf numFmtId="0" fontId="16" fillId="2" borderId="0" applyAlignment="1" pivotButton="0" quotePrefix="0" xfId="0">
      <alignment horizontal="left" vertical="top" wrapText="1"/>
    </xf>
    <xf numFmtId="0" fontId="6" fillId="2" borderId="1" applyAlignment="1" pivotButton="0" quotePrefix="0" xfId="0">
      <alignment horizontal="left"/>
    </xf>
    <xf numFmtId="0" fontId="6" fillId="2" borderId="0" applyAlignment="1" pivotButton="0" quotePrefix="0" xfId="0">
      <alignment horizontal="left"/>
    </xf>
    <xf numFmtId="0" fontId="0" fillId="2" borderId="2" applyAlignment="1" pivotButton="0" quotePrefix="0" xfId="0">
      <alignment horizontal="center" vertical="center"/>
    </xf>
    <xf numFmtId="0" fontId="4" fillId="3" borderId="1" applyAlignment="1" pivotButton="0" quotePrefix="0" xfId="0">
      <alignment horizontal="center" vertical="center"/>
    </xf>
    <xf numFmtId="0" fontId="0" fillId="3" borderId="1" applyAlignment="1" pivotButton="0" quotePrefix="0" xfId="0">
      <alignment vertical="center"/>
    </xf>
    <xf numFmtId="0" fontId="0" fillId="3" borderId="1" pivotButton="0" quotePrefix="0" xfId="0"/>
    <xf numFmtId="0" fontId="4" fillId="3" borderId="1" pivotButton="0" quotePrefix="0" xfId="0"/>
    <xf numFmtId="0" fontId="2" fillId="7" borderId="1" applyAlignment="1" pivotButton="0" quotePrefix="0" xfId="0">
      <alignment horizontal="center" vertical="center"/>
    </xf>
    <xf numFmtId="0" fontId="2" fillId="2" borderId="1" applyAlignment="1" pivotButton="0" quotePrefix="0" xfId="0">
      <alignment horizontal="center" vertical="center"/>
    </xf>
    <xf numFmtId="0" fontId="3" fillId="2" borderId="1" applyAlignment="1" pivotButton="0" quotePrefix="0" xfId="0">
      <alignment horizontal="left" vertical="top"/>
    </xf>
    <xf numFmtId="0" fontId="0" fillId="2" borderId="1" applyAlignment="1" pivotButton="0" quotePrefix="0" xfId="0">
      <alignment horizontal="justify" vertical="center"/>
    </xf>
    <xf numFmtId="0" fontId="6" fillId="3" borderId="0" applyAlignment="1" pivotButton="0" quotePrefix="0" xfId="0">
      <alignment horizontal="center" vertical="center"/>
    </xf>
    <xf numFmtId="22" fontId="0" fillId="3" borderId="1" pivotButton="0" quotePrefix="0" xfId="0"/>
    <xf numFmtId="0" fontId="17" fillId="2" borderId="2" applyAlignment="1" pivotButton="0" quotePrefix="0" xfId="0">
      <alignment horizontal="center" vertical="center"/>
    </xf>
    <xf numFmtId="0" fontId="3" fillId="0" borderId="0" applyAlignment="1" pivotButton="0" quotePrefix="0" xfId="0">
      <alignment horizontal="left" vertical="top"/>
    </xf>
    <xf numFmtId="0" fontId="0" fillId="0" borderId="5" pivotButton="0" quotePrefix="0" xfId="0"/>
    <xf numFmtId="0" fontId="0" fillId="0" borderId="4" pivotButton="0" quotePrefix="0" xfId="0"/>
    <xf numFmtId="0" fontId="0" fillId="2" borderId="2" applyAlignment="1" pivotButton="0" quotePrefix="0" xfId="0">
      <alignment horizontal="left" vertical="center"/>
    </xf>
    <xf numFmtId="0" fontId="3" fillId="2" borderId="2" applyAlignment="1" pivotButton="0" quotePrefix="0" xfId="0">
      <alignment horizontal="left" vertical="top"/>
    </xf>
    <xf numFmtId="0" fontId="0" fillId="0" borderId="2" pivotButton="0" quotePrefix="0" xfId="0"/>
    <xf numFmtId="0" fontId="3" fillId="0" borderId="5" applyAlignment="1" pivotButton="0" quotePrefix="0" xfId="0">
      <alignment horizontal="left" vertical="top"/>
    </xf>
    <xf numFmtId="0" fontId="26" fillId="5" borderId="2" applyAlignment="1" pivotButton="0" quotePrefix="0" xfId="0">
      <alignment horizontal="center" vertical="top"/>
    </xf>
    <xf numFmtId="0" fontId="27" fillId="4" borderId="23" applyAlignment="1" pivotButton="0" quotePrefix="0" xfId="0">
      <alignment horizontal="center" vertical="top"/>
    </xf>
    <xf numFmtId="22" fontId="4" fillId="0" borderId="1" applyAlignment="1" pivotButton="0" quotePrefix="0" xfId="0">
      <alignment horizontal="center"/>
    </xf>
    <xf numFmtId="0" fontId="21" fillId="4" borderId="21" applyAlignment="1" pivotButton="0" quotePrefix="0" xfId="0">
      <alignment horizontal="center" vertical="center" wrapText="1"/>
    </xf>
    <xf numFmtId="0" fontId="0" fillId="0" borderId="1" applyAlignment="1" pivotButton="0" quotePrefix="0" xfId="0">
      <alignment horizontal="center"/>
    </xf>
    <xf numFmtId="0" fontId="29" fillId="0" borderId="1" pivotButton="0" quotePrefix="0" xfId="0"/>
    <xf numFmtId="0" fontId="4" fillId="0" borderId="1" applyAlignment="1" pivotButton="0" quotePrefix="0" xfId="0">
      <alignment horizontal="center" wrapText="1"/>
    </xf>
    <xf numFmtId="0" fontId="0" fillId="0" borderId="1" applyAlignment="1" pivotButton="0" quotePrefix="0" xfId="0">
      <alignment horizontal="center" vertical="center"/>
    </xf>
    <xf numFmtId="0" fontId="4" fillId="0" borderId="1" applyAlignment="1" pivotButton="0" quotePrefix="0" xfId="0">
      <alignment horizontal="center" vertical="center"/>
    </xf>
    <xf numFmtId="0" fontId="2" fillId="0" borderId="0" applyAlignment="1" pivotButton="0" quotePrefix="0" xfId="0">
      <alignment horizontal="center"/>
    </xf>
    <xf numFmtId="0" fontId="28" fillId="0" borderId="0" applyAlignment="1" pivotButton="0" quotePrefix="0" xfId="0">
      <alignment vertical="center"/>
    </xf>
    <xf numFmtId="0" fontId="0" fillId="0" borderId="4" applyAlignment="1" pivotButton="0" quotePrefix="0" xfId="0">
      <alignment horizontal="center" vertical="center"/>
    </xf>
    <xf numFmtId="22" fontId="0" fillId="0" borderId="1" applyAlignment="1" pivotButton="0" quotePrefix="0" xfId="0">
      <alignment horizontal="center" vertical="center"/>
    </xf>
    <xf numFmtId="22" fontId="30" fillId="0" borderId="1" applyAlignment="1" pivotButton="0" quotePrefix="0" xfId="0">
      <alignment horizontal="center" vertical="center"/>
    </xf>
    <xf numFmtId="22" fontId="7" fillId="2" borderId="1" applyAlignment="1" pivotButton="0" quotePrefix="0" xfId="0">
      <alignment horizontal="left" vertical="center"/>
    </xf>
    <xf numFmtId="0" fontId="4" fillId="3" borderId="1" applyAlignment="1" pivotButton="0" quotePrefix="0" xfId="0">
      <alignment horizontal="center" wrapText="1"/>
    </xf>
    <xf numFmtId="0" fontId="21" fillId="4" borderId="1" applyAlignment="1" pivotButton="0" quotePrefix="0" xfId="0">
      <alignment horizontal="center" vertical="center" wrapText="1"/>
    </xf>
    <xf numFmtId="164" fontId="0" fillId="2" borderId="1" applyAlignment="1" pivotButton="0" quotePrefix="0" xfId="0">
      <alignment horizontal="right"/>
    </xf>
    <xf numFmtId="4" fontId="0" fillId="2" borderId="1" applyAlignment="1" pivotButton="0" quotePrefix="0" xfId="0">
      <alignment horizontal="right" vertical="center"/>
    </xf>
    <xf numFmtId="0" fontId="21" fillId="4" borderId="19" applyAlignment="1" pivotButton="0" quotePrefix="0" xfId="0">
      <alignment horizontal="center" vertical="center" wrapText="1"/>
    </xf>
    <xf numFmtId="0" fontId="10" fillId="2" borderId="1" applyAlignment="1" pivotButton="0" quotePrefix="0" xfId="0">
      <alignment horizontal="center" vertical="center"/>
    </xf>
    <xf numFmtId="0" fontId="0" fillId="0" borderId="0" applyAlignment="1" pivotButton="0" quotePrefix="0" xfId="0">
      <alignment vertical="center"/>
    </xf>
    <xf numFmtId="22" fontId="32" fillId="0" borderId="1" applyAlignment="1" pivotButton="0" quotePrefix="0" xfId="0">
      <alignment horizontal="center"/>
    </xf>
    <xf numFmtId="0" fontId="0" fillId="0" borderId="33" pivotButton="0" quotePrefix="0" xfId="0"/>
    <xf numFmtId="0" fontId="0" fillId="0" borderId="36" pivotButton="0" quotePrefix="0" xfId="0"/>
    <xf numFmtId="0" fontId="33" fillId="4" borderId="37" applyAlignment="1" pivotButton="0" quotePrefix="0" xfId="0">
      <alignment horizontal="center" vertical="center" wrapText="1"/>
    </xf>
    <xf numFmtId="0" fontId="0" fillId="0" borderId="38" pivotButton="0" quotePrefix="0" xfId="0"/>
    <xf numFmtId="0" fontId="0" fillId="0" borderId="39" pivotButton="0" quotePrefix="0" xfId="0"/>
    <xf numFmtId="0" fontId="34" fillId="4" borderId="1" applyAlignment="1" pivotButton="0" quotePrefix="0" xfId="0">
      <alignment horizontal="center" vertical="center" wrapText="1"/>
    </xf>
    <xf numFmtId="0" fontId="35" fillId="2" borderId="1" applyAlignment="1" pivotButton="0" quotePrefix="0" xfId="0">
      <alignment horizontal="center" vertical="center"/>
    </xf>
    <xf numFmtId="0" fontId="8" fillId="0" borderId="1" applyAlignment="1" pivotButton="0" quotePrefix="0" xfId="0">
      <alignment horizontal="left" vertical="center"/>
    </xf>
    <xf numFmtId="0" fontId="35" fillId="2" borderId="1" applyAlignment="1" pivotButton="0" quotePrefix="0" xfId="0">
      <alignment horizontal="left" vertical="center"/>
    </xf>
    <xf numFmtId="0" fontId="35" fillId="2" borderId="1" applyAlignment="1" pivotButton="0" quotePrefix="0" xfId="0">
      <alignment horizontal="center"/>
    </xf>
    <xf numFmtId="22" fontId="36" fillId="0" borderId="1" applyAlignment="1" pivotButton="0" quotePrefix="0" xfId="0">
      <alignment horizontal="center" vertical="center"/>
    </xf>
    <xf numFmtId="0" fontId="35" fillId="2" borderId="1" applyAlignment="1" pivotButton="0" quotePrefix="0" xfId="0">
      <alignment horizontal="left"/>
    </xf>
    <xf numFmtId="164" fontId="35" fillId="0" borderId="1" applyAlignment="1" pivotButton="0" quotePrefix="0" xfId="0">
      <alignment horizontal="right"/>
    </xf>
    <xf numFmtId="4" fontId="8" fillId="0" borderId="1" applyAlignment="1" pivotButton="0" quotePrefix="0" xfId="0">
      <alignment horizontal="center" vertical="center"/>
    </xf>
    <xf numFmtId="0" fontId="35" fillId="0" borderId="1" applyAlignment="1" pivotButton="0" quotePrefix="0" xfId="0">
      <alignment horizontal="left" vertical="center"/>
    </xf>
    <xf numFmtId="0" fontId="35" fillId="0" borderId="1" applyAlignment="1" pivotButton="0" quotePrefix="0" xfId="0">
      <alignment horizontal="center"/>
    </xf>
    <xf numFmtId="0" fontId="35" fillId="0" borderId="1" applyAlignment="1" pivotButton="0" quotePrefix="0" xfId="0">
      <alignment horizontal="left"/>
    </xf>
    <xf numFmtId="0" fontId="36" fillId="0" borderId="1" applyAlignment="1" pivotButton="0" quotePrefix="0" xfId="0">
      <alignment horizontal="center"/>
    </xf>
    <xf numFmtId="22" fontId="36" fillId="0" borderId="1" applyAlignment="1" pivotButton="0" quotePrefix="0" xfId="0">
      <alignment horizontal="center"/>
    </xf>
    <xf numFmtId="0" fontId="8" fillId="0" borderId="1" applyAlignment="1" pivotButton="0" quotePrefix="0" xfId="0">
      <alignment vertical="center"/>
    </xf>
    <xf numFmtId="0" fontId="36" fillId="0" borderId="0" pivotButton="0" quotePrefix="0" xfId="0"/>
    <xf numFmtId="22" fontId="36" fillId="2" borderId="1" applyAlignment="1" pivotButton="0" quotePrefix="0" xfId="0">
      <alignment horizontal="center"/>
    </xf>
    <xf numFmtId="0" fontId="8" fillId="0" borderId="0" applyAlignment="1" pivotButton="0" quotePrefix="0" xfId="0">
      <alignment horizontal="left" vertical="center"/>
    </xf>
    <xf numFmtId="0" fontId="36" fillId="0" borderId="1" pivotButton="0" quotePrefix="0" xfId="0"/>
    <xf numFmtId="0" fontId="8" fillId="2" borderId="1" applyAlignment="1" pivotButton="0" quotePrefix="0" xfId="0">
      <alignment horizontal="center"/>
    </xf>
    <xf numFmtId="0" fontId="8" fillId="0" borderId="1" applyAlignment="1" pivotButton="0" quotePrefix="0" xfId="0">
      <alignment horizontal="center"/>
    </xf>
    <xf numFmtId="0" fontId="8" fillId="0" borderId="1" pivotButton="0" quotePrefix="0" xfId="0"/>
    <xf numFmtId="0" fontId="8" fillId="0" borderId="1" applyAlignment="1" pivotButton="0" quotePrefix="0" xfId="0">
      <alignment horizontal="left"/>
    </xf>
    <xf numFmtId="0" fontId="8" fillId="0" borderId="1" applyAlignment="1" pivotButton="0" quotePrefix="0" xfId="0">
      <alignment horizontal="right"/>
    </xf>
    <xf numFmtId="0" fontId="0" fillId="0" borderId="1" applyAlignment="1" pivotButton="0" quotePrefix="0" xfId="0">
      <alignment vertical="center"/>
    </xf>
    <xf numFmtId="22" fontId="0" fillId="0" borderId="1" applyAlignment="1" pivotButton="0" quotePrefix="0" xfId="0">
      <alignment horizontal="center"/>
    </xf>
    <xf numFmtId="0" fontId="0" fillId="2" borderId="1" applyAlignment="1" pivotButton="0" quotePrefix="0" xfId="0">
      <alignment horizontal="right"/>
    </xf>
    <xf numFmtId="22" fontId="0" fillId="0" borderId="1" applyAlignment="1" pivotButton="0" quotePrefix="0" xfId="0">
      <alignment horizontal="right"/>
    </xf>
    <xf numFmtId="0" fontId="0" fillId="0" borderId="1" applyAlignment="1" pivotButton="0" quotePrefix="0" xfId="0">
      <alignment horizontal="right"/>
    </xf>
    <xf numFmtId="0" fontId="0" fillId="0" borderId="5" applyAlignment="1" pivotButton="0" quotePrefix="0" xfId="0">
      <alignment horizontal="right"/>
    </xf>
    <xf numFmtId="0" fontId="8" fillId="2" borderId="1" applyAlignment="1" pivotButton="0" quotePrefix="0" xfId="0">
      <alignment horizontal="left"/>
    </xf>
    <xf numFmtId="164" fontId="8" fillId="2" borderId="1" applyAlignment="1" pivotButton="0" quotePrefix="0" xfId="0">
      <alignment horizontal="right"/>
    </xf>
    <xf numFmtId="4" fontId="8" fillId="2" borderId="5" applyAlignment="1" pivotButton="0" quotePrefix="0" xfId="0">
      <alignment horizontal="right" vertical="center"/>
    </xf>
    <xf numFmtId="4" fontId="8" fillId="2" borderId="1" applyAlignment="1" pivotButton="0" quotePrefix="0" xfId="0">
      <alignment horizontal="right" vertical="center"/>
    </xf>
    <xf numFmtId="22" fontId="8" fillId="0" borderId="1" applyAlignment="1" pivotButton="0" quotePrefix="0" xfId="0">
      <alignment horizontal="center"/>
    </xf>
    <xf numFmtId="0" fontId="38" fillId="0" borderId="0" pivotButton="0" quotePrefix="0" xfId="0"/>
    <xf numFmtId="0" fontId="8" fillId="0" borderId="0" applyAlignment="1" pivotButton="0" quotePrefix="0" xfId="0">
      <alignment horizontal="center"/>
    </xf>
    <xf numFmtId="0" fontId="36" fillId="0" borderId="1" applyAlignment="1" pivotButton="0" quotePrefix="0" xfId="0">
      <alignment horizontal="right"/>
    </xf>
    <xf numFmtId="0" fontId="8" fillId="2" borderId="1" applyAlignment="1" pivotButton="0" quotePrefix="0" xfId="0">
      <alignment horizontal="right"/>
    </xf>
    <xf numFmtId="22" fontId="8" fillId="0" borderId="1" applyAlignment="1" pivotButton="0" quotePrefix="0" xfId="0">
      <alignment horizontal="right"/>
    </xf>
    <xf numFmtId="22" fontId="8" fillId="2" borderId="1" applyAlignment="1" pivotButton="0" quotePrefix="0" xfId="0">
      <alignment horizontal="right"/>
    </xf>
    <xf numFmtId="0" fontId="8" fillId="0" borderId="0" applyAlignment="1" pivotButton="0" quotePrefix="0" xfId="0">
      <alignment horizontal="center" vertical="center"/>
    </xf>
    <xf numFmtId="0" fontId="8" fillId="0" borderId="0" applyAlignment="1" pivotButton="0" quotePrefix="0" xfId="0">
      <alignment horizontal="center" vertical="center" wrapText="1"/>
    </xf>
    <xf numFmtId="0" fontId="8" fillId="0" borderId="0" pivotButton="0" quotePrefix="0" xfId="0"/>
    <xf numFmtId="0" fontId="37" fillId="0" borderId="0" pivotButton="0" quotePrefix="0" xfId="0"/>
    <xf numFmtId="0" fontId="0" fillId="2" borderId="0" pivotButton="0" quotePrefix="0" xfId="0"/>
    <xf numFmtId="0" fontId="0" fillId="0" borderId="1" applyAlignment="1" pivotButton="0" quotePrefix="0" xfId="0">
      <alignment horizontal="right" vertical="center"/>
    </xf>
    <xf numFmtId="0" fontId="0" fillId="0" borderId="0" applyAlignment="1" pivotButton="0" quotePrefix="0" xfId="0">
      <alignment horizontal="center" vertical="center"/>
    </xf>
    <xf numFmtId="0" fontId="8" fillId="2" borderId="0" pivotButton="0" quotePrefix="0" xfId="0"/>
    <xf numFmtId="0" fontId="8" fillId="2" borderId="4" pivotButton="0" quotePrefix="0" xfId="0"/>
    <xf numFmtId="0" fontId="8" fillId="2" borderId="1" pivotButton="0" quotePrefix="0" xfId="0"/>
    <xf numFmtId="0" fontId="8" fillId="2" borderId="1" applyAlignment="1" pivotButton="0" quotePrefix="0" xfId="0">
      <alignment horizontal="center" vertical="center"/>
    </xf>
    <xf numFmtId="0" fontId="35" fillId="0" borderId="1" applyAlignment="1" pivotButton="0" quotePrefix="0" xfId="0">
      <alignment vertical="center" wrapText="1"/>
    </xf>
    <xf numFmtId="0" fontId="35" fillId="0" borderId="1" pivotButton="0" quotePrefix="0" xfId="0"/>
    <xf numFmtId="22" fontId="8" fillId="0" borderId="1" applyAlignment="1" pivotButton="0" quotePrefix="0" xfId="0">
      <alignment horizontal="left"/>
    </xf>
    <xf numFmtId="0" fontId="8" fillId="2" borderId="2" applyAlignment="1" pivotButton="0" quotePrefix="0" xfId="0">
      <alignment horizontal="center" vertical="center"/>
    </xf>
    <xf numFmtId="22" fontId="35" fillId="0" borderId="1" applyAlignment="1" pivotButton="0" quotePrefix="0" xfId="0">
      <alignment horizontal="center"/>
    </xf>
    <xf numFmtId="22" fontId="8" fillId="2" borderId="1" applyAlignment="1" pivotButton="0" quotePrefix="0" xfId="0">
      <alignment horizontal="left"/>
    </xf>
    <xf numFmtId="22" fontId="8" fillId="0" borderId="1" pivotButton="0" quotePrefix="0" xfId="0"/>
    <xf numFmtId="164" fontId="8" fillId="0" borderId="1" applyAlignment="1" pivotButton="0" quotePrefix="0" xfId="0">
      <alignment horizontal="right"/>
    </xf>
    <xf numFmtId="4" fontId="8" fillId="0" borderId="1" applyAlignment="1" pivotButton="0" quotePrefix="0" xfId="0">
      <alignment horizontal="right" vertical="center"/>
    </xf>
    <xf numFmtId="0" fontId="35" fillId="0" borderId="0" applyAlignment="1" pivotButton="0" quotePrefix="0" xfId="0">
      <alignment horizontal="left" vertical="center"/>
    </xf>
    <xf numFmtId="4" fontId="35" fillId="0" borderId="1" applyAlignment="1" pivotButton="0" quotePrefix="0" xfId="0">
      <alignment horizontal="right" vertical="center"/>
    </xf>
    <xf numFmtId="0" fontId="8" fillId="0" borderId="4" pivotButton="0" quotePrefix="0" xfId="0"/>
    <xf numFmtId="0" fontId="8" fillId="0" borderId="27" pivotButton="0" quotePrefix="0" xfId="0"/>
    <xf numFmtId="0" fontId="8" fillId="0" borderId="3" pivotButton="0" quotePrefix="0" xfId="0"/>
    <xf numFmtId="0" fontId="8" fillId="0" borderId="26" pivotButton="0" quotePrefix="0" xfId="0"/>
    <xf numFmtId="0" fontId="8" fillId="0" borderId="9" pivotButton="0" quotePrefix="0" xfId="0"/>
    <xf numFmtId="0" fontId="36" fillId="0" borderId="1" applyAlignment="1" pivotButton="0" quotePrefix="0" xfId="0">
      <alignment horizontal="left" vertical="center" wrapText="1"/>
    </xf>
    <xf numFmtId="0" fontId="35" fillId="0" borderId="1" applyAlignment="1" pivotButton="0" quotePrefix="0" xfId="0">
      <alignment vertical="center"/>
    </xf>
    <xf numFmtId="0" fontId="8" fillId="0" borderId="5" applyAlignment="1" pivotButton="0" quotePrefix="0" xfId="0">
      <alignment horizontal="center" vertical="center"/>
    </xf>
    <xf numFmtId="0" fontId="0" fillId="3" borderId="0" applyAlignment="1" pivotButton="0" quotePrefix="0" xfId="0">
      <alignment horizontal="center" vertical="center"/>
    </xf>
    <xf numFmtId="0" fontId="8" fillId="3" borderId="0" applyAlignment="1" pivotButton="0" quotePrefix="0" xfId="0">
      <alignment horizontal="center" vertical="center"/>
    </xf>
    <xf numFmtId="0" fontId="40" fillId="2" borderId="2" applyAlignment="1" pivotButton="0" quotePrefix="0" xfId="0">
      <alignment horizontal="center" vertical="center"/>
    </xf>
    <xf numFmtId="0" fontId="8" fillId="3" borderId="1" applyAlignment="1" pivotButton="0" quotePrefix="0" xfId="0">
      <alignment horizontal="left"/>
    </xf>
    <xf numFmtId="0" fontId="41" fillId="0" borderId="0" applyAlignment="1" pivotButton="0" quotePrefix="0" xfId="0">
      <alignment horizontal="center"/>
    </xf>
    <xf numFmtId="0" fontId="8" fillId="3" borderId="0" pivotButton="0" quotePrefix="0" xfId="0"/>
    <xf numFmtId="0" fontId="40" fillId="2" borderId="1" applyAlignment="1" pivotButton="0" quotePrefix="0" xfId="0">
      <alignment horizontal="center" vertical="center"/>
    </xf>
    <xf numFmtId="0" fontId="35" fillId="3" borderId="1" applyAlignment="1" pivotButton="0" quotePrefix="0" xfId="0">
      <alignment horizontal="left"/>
    </xf>
    <xf numFmtId="22" fontId="8" fillId="3" borderId="1" applyAlignment="1" pivotButton="0" quotePrefix="0" xfId="0">
      <alignment horizontal="center"/>
    </xf>
    <xf numFmtId="0" fontId="8" fillId="0" borderId="1" applyAlignment="1" pivotButton="0" quotePrefix="0" xfId="0">
      <alignment wrapText="1"/>
    </xf>
    <xf numFmtId="0" fontId="8" fillId="3" borderId="1" pivotButton="0" quotePrefix="0" xfId="0"/>
    <xf numFmtId="0" fontId="35" fillId="3" borderId="1" applyAlignment="1" pivotButton="0" quotePrefix="0" xfId="0">
      <alignment horizontal="center" vertical="center"/>
    </xf>
    <xf numFmtId="0" fontId="8" fillId="3" borderId="1" applyAlignment="1" pivotButton="0" quotePrefix="0" xfId="0">
      <alignment vertical="top" wrapText="1"/>
    </xf>
    <xf numFmtId="22" fontId="8" fillId="3" borderId="1" pivotButton="0" quotePrefix="0" xfId="0"/>
    <xf numFmtId="0" fontId="35" fillId="3" borderId="1" pivotButton="0" quotePrefix="0" xfId="0"/>
    <xf numFmtId="0" fontId="8" fillId="3" borderId="1" applyAlignment="1" pivotButton="0" quotePrefix="0" xfId="0">
      <alignment horizontal="left" vertical="top" wrapText="1"/>
    </xf>
    <xf numFmtId="0" fontId="8" fillId="3" borderId="1" applyAlignment="1" pivotButton="0" quotePrefix="0" xfId="0">
      <alignment vertical="center"/>
    </xf>
    <xf numFmtId="0" fontId="34" fillId="0" borderId="1" applyAlignment="1" pivotButton="0" quotePrefix="0" xfId="0">
      <alignment horizontal="center" vertical="center" wrapText="1"/>
    </xf>
    <xf numFmtId="0" fontId="0" fillId="2" borderId="0" applyAlignment="1" pivotButton="0" quotePrefix="0" xfId="0">
      <alignment horizontal="left" vertical="top" wrapText="1"/>
    </xf>
    <xf numFmtId="0" fontId="42" fillId="2" borderId="1" applyAlignment="1" pivotButton="0" quotePrefix="0" xfId="0">
      <alignment horizontal="left" vertical="top" wrapText="1"/>
    </xf>
    <xf numFmtId="0" fontId="42" fillId="2" borderId="0" applyAlignment="1" pivotButton="0" quotePrefix="0" xfId="0">
      <alignment horizontal="left" vertical="top" wrapText="1"/>
    </xf>
    <xf numFmtId="0" fontId="0" fillId="2" borderId="0" applyAlignment="1" pivotButton="0" quotePrefix="0" xfId="0">
      <alignment horizontal="left"/>
    </xf>
    <xf numFmtId="0" fontId="0" fillId="0" borderId="0" applyAlignment="1" pivotButton="0" quotePrefix="0" xfId="0">
      <alignment horizontal="left"/>
    </xf>
    <xf numFmtId="0" fontId="34" fillId="4" borderId="1" applyAlignment="1" pivotButton="0" quotePrefix="0" xfId="0">
      <alignment horizontal="center" vertical="center"/>
    </xf>
    <xf numFmtId="0" fontId="8" fillId="2" borderId="1" applyAlignment="1" pivotButton="0" quotePrefix="0" xfId="0">
      <alignment horizontal="left" vertical="top" wrapText="1"/>
    </xf>
    <xf numFmtId="164" fontId="8" fillId="2" borderId="1" applyAlignment="1" pivotButton="0" quotePrefix="0" xfId="0">
      <alignment horizontal="right" vertical="center"/>
    </xf>
    <xf numFmtId="0" fontId="35" fillId="2" borderId="1" applyAlignment="1" pivotButton="0" quotePrefix="0" xfId="1">
      <alignment horizontal="left" vertical="top" wrapText="1"/>
    </xf>
    <xf numFmtId="0" fontId="35" fillId="2" borderId="0" pivotButton="0" quotePrefix="0" xfId="0"/>
    <xf numFmtId="22" fontId="35" fillId="2" borderId="1" applyAlignment="1" pivotButton="0" quotePrefix="0" xfId="0">
      <alignment horizontal="left" vertical="center"/>
    </xf>
    <xf numFmtId="22" fontId="8" fillId="2" borderId="1" applyAlignment="1" pivotButton="0" quotePrefix="0" xfId="0">
      <alignment horizontal="left" vertical="center"/>
    </xf>
    <xf numFmtId="0" fontId="8" fillId="2" borderId="1" applyAlignment="1" pivotButton="0" quotePrefix="0" xfId="0">
      <alignment horizontal="left" vertical="center"/>
    </xf>
    <xf numFmtId="0" fontId="35" fillId="2" borderId="1" applyAlignment="1" pivotButton="0" quotePrefix="0" xfId="0">
      <alignment horizontal="left" vertical="top" wrapText="1"/>
    </xf>
    <xf numFmtId="22" fontId="35" fillId="2" borderId="1" applyAlignment="1" pivotButton="0" quotePrefix="0" xfId="0">
      <alignment horizontal="center" vertical="center"/>
    </xf>
    <xf numFmtId="22" fontId="8" fillId="2" borderId="1" applyAlignment="1" pivotButton="0" quotePrefix="0" xfId="0">
      <alignment horizontal="center" vertical="center"/>
    </xf>
    <xf numFmtId="0" fontId="37" fillId="2" borderId="0" pivotButton="0" quotePrefix="0" xfId="0"/>
    <xf numFmtId="22" fontId="37" fillId="0" borderId="1" applyAlignment="1" pivotButton="0" quotePrefix="0" xfId="0">
      <alignment horizontal="center" vertical="center" wrapText="1"/>
    </xf>
    <xf numFmtId="0" fontId="35" fillId="2" borderId="0" applyAlignment="1" pivotButton="0" quotePrefix="0" xfId="0">
      <alignment horizontal="left" vertical="center"/>
    </xf>
    <xf numFmtId="0" fontId="35" fillId="2" borderId="0" applyAlignment="1" pivotButton="0" quotePrefix="0" xfId="0">
      <alignment horizontal="center" vertical="center"/>
    </xf>
    <xf numFmtId="0" fontId="8" fillId="2" borderId="0" applyAlignment="1" pivotButton="0" quotePrefix="0" xfId="0">
      <alignment horizontal="left" vertical="top" wrapText="1"/>
    </xf>
    <xf numFmtId="0" fontId="8" fillId="2" borderId="0" applyAlignment="1" pivotButton="0" quotePrefix="0" xfId="0">
      <alignment horizontal="left"/>
    </xf>
    <xf numFmtId="0" fontId="0" fillId="0" borderId="0" applyAlignment="1" pivotButton="0" quotePrefix="0" xfId="0">
      <alignment horizontal="center"/>
    </xf>
    <xf numFmtId="0" fontId="43" fillId="0" borderId="0" applyAlignment="1" pivotButton="0" quotePrefix="0" xfId="0">
      <alignment horizontal="left" vertical="center"/>
    </xf>
    <xf numFmtId="0" fontId="0" fillId="0" borderId="40" pivotButton="0" quotePrefix="0" xfId="0"/>
    <xf numFmtId="0" fontId="11" fillId="2" borderId="1" applyAlignment="1" pivotButton="0" quotePrefix="0" xfId="1">
      <alignment horizontal="left" vertical="top" wrapText="1"/>
    </xf>
    <xf numFmtId="22" fontId="8" fillId="2" borderId="1" applyAlignment="1" pivotButton="0" quotePrefix="0" xfId="0">
      <alignment horizontal="center" vertical="top" wrapText="1"/>
    </xf>
    <xf numFmtId="0" fontId="8" fillId="2" borderId="1" applyAlignment="1" pivotButton="0" quotePrefix="0" xfId="0">
      <alignment horizontal="center" vertical="top" wrapText="1"/>
    </xf>
    <xf numFmtId="0" fontId="36" fillId="0" borderId="1" applyAlignment="1" pivotButton="0" quotePrefix="0" xfId="0">
      <alignment horizontal="center" vertical="top" wrapText="1"/>
    </xf>
    <xf numFmtId="0" fontId="35" fillId="0" borderId="1" applyAlignment="1" pivotButton="0" quotePrefix="0" xfId="0">
      <alignment horizontal="center" vertical="center"/>
    </xf>
    <xf numFmtId="0" fontId="35" fillId="2" borderId="1" applyAlignment="1" pivotButton="0" quotePrefix="0" xfId="0">
      <alignment vertical="center"/>
    </xf>
    <xf numFmtId="0" fontId="11" fillId="2" borderId="1" applyAlignment="1" pivotButton="0" quotePrefix="0" xfId="1">
      <alignment horizontal="left" vertical="center"/>
    </xf>
    <xf numFmtId="22" fontId="8" fillId="0" borderId="1" applyAlignment="1" pivotButton="0" quotePrefix="0" xfId="0">
      <alignment horizontal="center" vertical="center"/>
    </xf>
    <xf numFmtId="0" fontId="35" fillId="0" borderId="3" applyAlignment="1" pivotButton="0" quotePrefix="0" xfId="0">
      <alignment horizontal="left" vertical="center"/>
    </xf>
    <xf numFmtId="0" fontId="36" fillId="0" borderId="3" applyAlignment="1" pivotButton="0" quotePrefix="0" xfId="0">
      <alignment horizontal="center" vertical="top" wrapText="1"/>
    </xf>
    <xf numFmtId="0" fontId="35" fillId="0" borderId="3" applyAlignment="1" pivotButton="0" quotePrefix="0" xfId="0">
      <alignment horizontal="center" vertical="center"/>
    </xf>
    <xf numFmtId="22" fontId="8" fillId="0" borderId="3" applyAlignment="1" pivotButton="0" quotePrefix="0" xfId="0">
      <alignment horizontal="right"/>
    </xf>
    <xf numFmtId="0" fontId="35" fillId="2" borderId="3" applyAlignment="1" pivotButton="0" quotePrefix="0" xfId="0">
      <alignment horizontal="center" vertical="center"/>
    </xf>
    <xf numFmtId="0" fontId="0" fillId="0" borderId="3" pivotButton="0" quotePrefix="0" xfId="0"/>
    <xf numFmtId="22" fontId="8" fillId="0" borderId="3" applyAlignment="1" pivotButton="0" quotePrefix="0" xfId="0">
      <alignment horizontal="center" vertical="center"/>
    </xf>
    <xf numFmtId="164" fontId="8" fillId="0" borderId="3" applyAlignment="1" pivotButton="0" quotePrefix="0" xfId="0">
      <alignment horizontal="right"/>
    </xf>
    <xf numFmtId="0" fontId="36" fillId="0" borderId="1" applyAlignment="1" pivotButton="0" quotePrefix="0" xfId="0">
      <alignment vertical="center" wrapText="1"/>
    </xf>
    <xf numFmtId="0" fontId="0" fillId="0" borderId="1" applyAlignment="1" pivotButton="0" quotePrefix="0" xfId="0">
      <alignment vertical="center" wrapText="1"/>
    </xf>
    <xf numFmtId="22" fontId="35" fillId="0" borderId="1" applyAlignment="1" pivotButton="0" quotePrefix="0" xfId="0">
      <alignment horizontal="left"/>
    </xf>
    <xf numFmtId="22" fontId="35" fillId="0" borderId="1" applyAlignment="1" pivotButton="0" quotePrefix="0" xfId="0">
      <alignment horizontal="right"/>
    </xf>
    <xf numFmtId="0" fontId="35" fillId="2" borderId="1" applyAlignment="1" pivotButton="0" quotePrefix="0" xfId="0">
      <alignment horizontal="left" vertical="top"/>
    </xf>
    <xf numFmtId="0" fontId="0" fillId="0" borderId="1" applyAlignment="1" pivotButton="0" quotePrefix="0" xfId="0">
      <alignment wrapText="1"/>
    </xf>
    <xf numFmtId="4" fontId="8" fillId="0" borderId="4" applyAlignment="1" pivotButton="0" quotePrefix="0" xfId="0">
      <alignment horizontal="right" vertical="center"/>
    </xf>
    <xf numFmtId="0" fontId="35" fillId="2" borderId="1" pivotButton="0" quotePrefix="0" xfId="0"/>
    <xf numFmtId="0" fontId="0" fillId="0" borderId="41" pivotButton="0" quotePrefix="0" xfId="0"/>
    <xf numFmtId="0" fontId="11" fillId="0" borderId="1" pivotButton="0" quotePrefix="0" xfId="1"/>
    <xf numFmtId="0" fontId="11" fillId="0" borderId="0" pivotButton="0" quotePrefix="0" xfId="1"/>
    <xf numFmtId="0" fontId="45" fillId="0" borderId="1" pivotButton="0" quotePrefix="0" xfId="0"/>
    <xf numFmtId="0" fontId="11" fillId="2" borderId="1" pivotButton="0" quotePrefix="0" xfId="1"/>
    <xf numFmtId="22" fontId="35" fillId="2" borderId="1" applyAlignment="1" pivotButton="0" quotePrefix="0" xfId="0">
      <alignment horizontal="center"/>
    </xf>
    <xf numFmtId="0" fontId="35" fillId="2" borderId="1" applyAlignment="1" pivotButton="0" quotePrefix="0" xfId="0">
      <alignment wrapText="1"/>
    </xf>
    <xf numFmtId="0" fontId="11" fillId="2" borderId="1" applyAlignment="1" pivotButton="0" quotePrefix="0" xfId="1">
      <alignment horizontal="left" vertical="center" wrapText="1"/>
    </xf>
    <xf numFmtId="0" fontId="37" fillId="2" borderId="1" pivotButton="0" quotePrefix="0" xfId="0"/>
    <xf numFmtId="0" fontId="46" fillId="0" borderId="0" pivotButton="0" quotePrefix="0" xfId="0"/>
    <xf numFmtId="0" fontId="46" fillId="0" borderId="1" pivotButton="0" quotePrefix="0" xfId="0"/>
    <xf numFmtId="0" fontId="37" fillId="2" borderId="1" applyAlignment="1" pivotButton="0" quotePrefix="0" xfId="0">
      <alignment horizontal="left"/>
    </xf>
    <xf numFmtId="0" fontId="10" fillId="0" borderId="1" pivotButton="0" quotePrefix="0" xfId="0"/>
    <xf numFmtId="0" fontId="44" fillId="2" borderId="1" applyAlignment="1" pivotButton="0" quotePrefix="0" xfId="1">
      <alignment horizontal="left" vertical="top" wrapText="1"/>
    </xf>
    <xf numFmtId="0" fontId="35" fillId="0" borderId="4" applyAlignment="1" pivotButton="0" quotePrefix="0" xfId="0">
      <alignment horizontal="left" vertical="center"/>
    </xf>
    <xf numFmtId="0" fontId="35" fillId="8" borderId="1" applyAlignment="1" pivotButton="0" quotePrefix="0" xfId="0">
      <alignment horizontal="center" vertical="center"/>
    </xf>
    <xf numFmtId="0" fontId="0" fillId="9" borderId="1" pivotButton="0" quotePrefix="0" xfId="0"/>
    <xf numFmtId="0" fontId="2" fillId="9" borderId="1" pivotButton="0" quotePrefix="0" xfId="0"/>
    <xf numFmtId="0" fontId="39" fillId="5" borderId="0" applyAlignment="1" pivotButton="0" quotePrefix="0" xfId="0">
      <alignment horizontal="center" vertical="center"/>
    </xf>
    <xf numFmtId="0" fontId="17" fillId="2" borderId="8" applyAlignment="1" pivotButton="0" quotePrefix="0" xfId="1">
      <alignment horizontal="center" vertical="center"/>
    </xf>
    <xf numFmtId="0" fontId="17" fillId="2" borderId="11" applyAlignment="1" pivotButton="0" quotePrefix="0" xfId="1">
      <alignment horizontal="center" vertical="center"/>
    </xf>
    <xf numFmtId="0" fontId="17" fillId="2" borderId="13" applyAlignment="1" pivotButton="0" quotePrefix="0" xfId="1">
      <alignment horizontal="center" vertical="center"/>
    </xf>
    <xf numFmtId="0" fontId="11" fillId="5" borderId="8" applyAlignment="1" pivotButton="0" quotePrefix="0" xfId="1">
      <alignment horizontal="center" vertical="center"/>
    </xf>
    <xf numFmtId="0" fontId="11" fillId="5" borderId="11" applyAlignment="1" pivotButton="0" quotePrefix="0" xfId="1">
      <alignment horizontal="center" vertical="center"/>
    </xf>
    <xf numFmtId="0" fontId="11" fillId="5" borderId="13" applyAlignment="1" pivotButton="0" quotePrefix="0" xfId="1">
      <alignment horizontal="center" vertical="center"/>
    </xf>
    <xf numFmtId="0" fontId="0" fillId="3" borderId="1" applyAlignment="1" pivotButton="0" quotePrefix="0" xfId="0">
      <alignment horizontal="center"/>
    </xf>
    <xf numFmtId="0" fontId="22" fillId="2" borderId="8" applyAlignment="1" pivotButton="0" quotePrefix="0" xfId="1">
      <alignment horizontal="left" vertical="center"/>
    </xf>
    <xf numFmtId="0" fontId="22" fillId="2" borderId="11" applyAlignment="1" pivotButton="0" quotePrefix="0" xfId="1">
      <alignment horizontal="left" vertical="center"/>
    </xf>
    <xf numFmtId="0" fontId="22" fillId="2" borderId="13" applyAlignment="1" pivotButton="0" quotePrefix="0" xfId="1">
      <alignment horizontal="left" vertical="center"/>
    </xf>
    <xf numFmtId="10" fontId="12" fillId="3" borderId="16" applyAlignment="1" pivotButton="0" quotePrefix="0" xfId="0">
      <alignment horizontal="center" vertical="center"/>
    </xf>
    <xf numFmtId="10" fontId="12" fillId="3" borderId="7" applyAlignment="1" pivotButton="0" quotePrefix="0" xfId="0">
      <alignment horizontal="center" vertical="center"/>
    </xf>
    <xf numFmtId="10" fontId="12" fillId="3" borderId="17" applyAlignment="1" pivotButton="0" quotePrefix="0" xfId="0">
      <alignment horizontal="center" vertical="center"/>
    </xf>
    <xf numFmtId="10" fontId="12" fillId="3" borderId="10" applyAlignment="1" pivotButton="0" quotePrefix="0" xfId="0">
      <alignment horizontal="center" vertical="center"/>
    </xf>
    <xf numFmtId="10" fontId="12" fillId="3" borderId="12" applyAlignment="1" pivotButton="0" quotePrefix="0" xfId="0">
      <alignment horizontal="center" vertical="center"/>
    </xf>
    <xf numFmtId="10" fontId="12" fillId="3" borderId="15" applyAlignment="1" pivotButton="0" quotePrefix="0" xfId="0">
      <alignment horizontal="center" vertical="center"/>
    </xf>
    <xf numFmtId="0" fontId="20" fillId="5" borderId="8" applyAlignment="1" pivotButton="0" quotePrefix="0" xfId="1">
      <alignment horizontal="center" vertical="center"/>
    </xf>
    <xf numFmtId="0" fontId="20" fillId="5" borderId="11" applyAlignment="1" pivotButton="0" quotePrefix="0" xfId="1">
      <alignment horizontal="center" vertical="center"/>
    </xf>
    <xf numFmtId="0" fontId="20" fillId="5" borderId="13" applyAlignment="1" pivotButton="0" quotePrefix="0" xfId="1">
      <alignment horizontal="center" vertical="center"/>
    </xf>
    <xf numFmtId="10" fontId="12" fillId="5" borderId="16" applyAlignment="1" pivotButton="0" quotePrefix="0" xfId="0">
      <alignment horizontal="center" vertical="center"/>
    </xf>
    <xf numFmtId="10" fontId="12" fillId="5" borderId="7" applyAlignment="1" pivotButton="0" quotePrefix="0" xfId="0">
      <alignment horizontal="center" vertical="center"/>
    </xf>
    <xf numFmtId="10" fontId="12" fillId="5" borderId="17" applyAlignment="1" pivotButton="0" quotePrefix="0" xfId="0">
      <alignment horizontal="center" vertical="center"/>
    </xf>
    <xf numFmtId="10" fontId="12" fillId="5" borderId="10" applyAlignment="1" pivotButton="0" quotePrefix="0" xfId="0">
      <alignment horizontal="center" vertical="center"/>
    </xf>
    <xf numFmtId="10" fontId="12" fillId="5" borderId="12" applyAlignment="1" pivotButton="0" quotePrefix="0" xfId="0">
      <alignment horizontal="center" vertical="center"/>
    </xf>
    <xf numFmtId="10" fontId="12" fillId="5" borderId="15" applyAlignment="1" pivotButton="0" quotePrefix="0" xfId="0">
      <alignment horizontal="center" vertical="center"/>
    </xf>
    <xf numFmtId="0" fontId="23" fillId="2" borderId="8" applyAlignment="1" pivotButton="0" quotePrefix="0" xfId="1">
      <alignment horizontal="left" vertical="center"/>
    </xf>
    <xf numFmtId="0" fontId="23" fillId="2" borderId="11" applyAlignment="1" pivotButton="0" quotePrefix="0" xfId="1">
      <alignment horizontal="left" vertical="center"/>
    </xf>
    <xf numFmtId="0" fontId="23" fillId="2" borderId="13" applyAlignment="1" pivotButton="0" quotePrefix="0" xfId="1">
      <alignment horizontal="left" vertical="center"/>
    </xf>
    <xf numFmtId="165" fontId="12" fillId="3" borderId="16" applyAlignment="1" pivotButton="0" quotePrefix="0" xfId="0">
      <alignment horizontal="center" vertical="center"/>
    </xf>
    <xf numFmtId="165" fontId="12" fillId="3" borderId="7" applyAlignment="1" pivotButton="0" quotePrefix="0" xfId="0">
      <alignment horizontal="center" vertical="center"/>
    </xf>
    <xf numFmtId="165" fontId="12" fillId="3" borderId="17" applyAlignment="1" pivotButton="0" quotePrefix="0" xfId="0">
      <alignment horizontal="center" vertical="center"/>
    </xf>
    <xf numFmtId="0" fontId="19" fillId="3" borderId="5" applyAlignment="1" pivotButton="0" quotePrefix="0" xfId="0">
      <alignment horizontal="center" vertical="center" wrapText="1"/>
    </xf>
    <xf numFmtId="0" fontId="18" fillId="3" borderId="6" applyAlignment="1" pivotButton="0" quotePrefix="0" xfId="0">
      <alignment horizontal="center" vertical="center" wrapText="1"/>
    </xf>
    <xf numFmtId="0" fontId="18" fillId="3" borderId="4" applyAlignment="1" pivotButton="0" quotePrefix="0" xfId="0">
      <alignment horizontal="center" vertical="center" wrapText="1"/>
    </xf>
    <xf numFmtId="0" fontId="13" fillId="6" borderId="3" applyAlignment="1" pivotButton="0" quotePrefix="0" xfId="0">
      <alignment horizontal="center" vertical="center"/>
    </xf>
    <xf numFmtId="0" fontId="13" fillId="6" borderId="2" applyAlignment="1" pivotButton="0" quotePrefix="0" xfId="0">
      <alignment horizontal="center" vertical="center"/>
    </xf>
    <xf numFmtId="0" fontId="14" fillId="5" borderId="3" applyAlignment="1" pivotButton="0" quotePrefix="0" xfId="0">
      <alignment horizontal="center" vertical="center"/>
    </xf>
    <xf numFmtId="0" fontId="14" fillId="5" borderId="2" applyAlignment="1" pivotButton="0" quotePrefix="0" xfId="0">
      <alignment horizontal="center" vertical="center"/>
    </xf>
    <xf numFmtId="0" fontId="15" fillId="5" borderId="3" applyAlignment="1" pivotButton="0" quotePrefix="0" xfId="0">
      <alignment horizontal="center"/>
    </xf>
    <xf numFmtId="0" fontId="15" fillId="5" borderId="2" applyAlignment="1" pivotButton="0" quotePrefix="0" xfId="0">
      <alignment horizontal="center"/>
    </xf>
    <xf numFmtId="0" fontId="21" fillId="4" borderId="19" applyAlignment="1" pivotButton="0" quotePrefix="0" xfId="0">
      <alignment horizontal="center" vertical="center"/>
    </xf>
    <xf numFmtId="0" fontId="21" fillId="4" borderId="20" applyAlignment="1" pivotButton="0" quotePrefix="0" xfId="0">
      <alignment horizontal="center" vertical="center"/>
    </xf>
    <xf numFmtId="0" fontId="39" fillId="5" borderId="22" applyAlignment="1" pivotButton="0" quotePrefix="0" xfId="0">
      <alignment horizontal="center" vertical="center"/>
    </xf>
    <xf numFmtId="0" fontId="33" fillId="4" borderId="28" applyAlignment="1" pivotButton="0" quotePrefix="0" xfId="0">
      <alignment horizontal="center" vertical="center"/>
    </xf>
    <xf numFmtId="0" fontId="33" fillId="4" borderId="29" applyAlignment="1" pivotButton="0" quotePrefix="0" xfId="0">
      <alignment horizontal="center" vertical="center"/>
    </xf>
    <xf numFmtId="0" fontId="0" fillId="0" borderId="3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4" applyAlignment="1" pivotButton="0" quotePrefix="0" xfId="0">
      <alignment horizontal="center"/>
    </xf>
    <xf numFmtId="0" fontId="0" fillId="0" borderId="11" applyAlignment="1" pivotButton="0" quotePrefix="0" xfId="0">
      <alignment horizontal="center"/>
    </xf>
    <xf numFmtId="0" fontId="0" fillId="0" borderId="35" applyAlignment="1" pivotButton="0" quotePrefix="0" xfId="0">
      <alignment horizontal="center"/>
    </xf>
    <xf numFmtId="0" fontId="0" fillId="0" borderId="13" applyAlignment="1" pivotButton="0" quotePrefix="0" xfId="0">
      <alignment horizontal="center"/>
    </xf>
    <xf numFmtId="0" fontId="24" fillId="5" borderId="22" applyAlignment="1" pivotButton="0" quotePrefix="0" xfId="0">
      <alignment horizontal="center" vertical="center"/>
    </xf>
    <xf numFmtId="0" fontId="24" fillId="5" borderId="0" applyAlignment="1" pivotButton="0" quotePrefix="0" xfId="0">
      <alignment horizontal="center" vertical="center"/>
    </xf>
    <xf numFmtId="0" fontId="27" fillId="4" borderId="24" applyAlignment="1" pivotButton="0" quotePrefix="0" xfId="0">
      <alignment horizontal="center" vertical="center"/>
    </xf>
    <xf numFmtId="0" fontId="27" fillId="4" borderId="25" applyAlignment="1" pivotButton="0" quotePrefix="0" xfId="0">
      <alignment horizontal="center" vertical="center"/>
    </xf>
    <xf numFmtId="0" fontId="25" fillId="4" borderId="24" applyAlignment="1" pivotButton="0" quotePrefix="0" xfId="0">
      <alignment horizontal="center"/>
    </xf>
    <xf numFmtId="0" fontId="25" fillId="4" borderId="25" applyAlignment="1" pivotButton="0" quotePrefix="0" xfId="0">
      <alignment horizontal="center"/>
    </xf>
    <xf numFmtId="0" fontId="25" fillId="4" borderId="24" applyAlignment="1" pivotButton="0" quotePrefix="0" xfId="0">
      <alignment horizontal="center" vertical="center"/>
    </xf>
    <xf numFmtId="0" fontId="25" fillId="4" borderId="25" applyAlignment="1" pivotButton="0" quotePrefix="0" xfId="0">
      <alignment horizontal="center" vertical="center"/>
    </xf>
    <xf numFmtId="0" fontId="19" fillId="3" borderId="1" applyAlignment="1" pivotButton="0" quotePrefix="0" xfId="0">
      <alignment horizontal="center" vertical="center" wrapText="1"/>
    </xf>
    <xf numFmtId="0" fontId="0" fillId="0" borderId="6" pivotButton="0" quotePrefix="0" xfId="0"/>
    <xf numFmtId="0" fontId="0" fillId="0" borderId="7" pivotButton="0" quotePrefix="0" xfId="0"/>
    <xf numFmtId="0" fontId="13" fillId="6" borderId="1" applyAlignment="1" pivotButton="0" quotePrefix="0" xfId="0">
      <alignment horizontal="center" vertical="center"/>
    </xf>
    <xf numFmtId="0" fontId="14" fillId="5" borderId="1" applyAlignment="1" pivotButton="0" quotePrefix="0" xfId="0">
      <alignment horizontal="center" vertical="center"/>
    </xf>
    <xf numFmtId="0" fontId="15" fillId="5" borderId="1" applyAlignment="1" pivotButton="0" quotePrefix="0" xfId="0">
      <alignment horizontal="center"/>
    </xf>
    <xf numFmtId="0" fontId="0" fillId="0" borderId="20" pivotButton="0" quotePrefix="0" xfId="0"/>
    <xf numFmtId="0" fontId="17" fillId="2" borderId="46" applyAlignment="1" pivotButton="0" quotePrefix="0" xfId="1">
      <alignment horizontal="center" vertical="center"/>
    </xf>
    <xf numFmtId="0" fontId="22" fillId="2" borderId="46" applyAlignment="1" pivotButton="0" quotePrefix="0" xfId="1">
      <alignment horizontal="left" vertical="center"/>
    </xf>
    <xf numFmtId="10" fontId="12" fillId="3" borderId="48" applyAlignment="1" pivotButton="0" quotePrefix="0" xfId="0">
      <alignment horizontal="center" vertical="center"/>
    </xf>
    <xf numFmtId="10" fontId="12" fillId="3" borderId="49" applyAlignment="1" pivotButton="0" quotePrefix="0" xfId="0">
      <alignment horizontal="center" vertical="center"/>
    </xf>
    <xf numFmtId="0" fontId="0" fillId="0" borderId="11" pivotButton="0" quotePrefix="0" xfId="0"/>
    <xf numFmtId="0" fontId="0" fillId="0" borderId="12" pivotButton="0" quotePrefix="0" xfId="0"/>
    <xf numFmtId="0" fontId="0" fillId="0" borderId="13" pivotButton="0" quotePrefix="0" xfId="0"/>
    <xf numFmtId="0" fontId="0" fillId="0" borderId="17" pivotButton="0" quotePrefix="0" xfId="0"/>
    <xf numFmtId="0" fontId="0" fillId="0" borderId="15" pivotButton="0" quotePrefix="0" xfId="0"/>
    <xf numFmtId="165" fontId="12" fillId="3" borderId="48" applyAlignment="1" pivotButton="0" quotePrefix="0" xfId="0">
      <alignment horizontal="center" vertical="center"/>
    </xf>
    <xf numFmtId="0" fontId="23" fillId="2" borderId="46" applyAlignment="1" pivotButton="0" quotePrefix="0" xfId="1">
      <alignment horizontal="left" vertical="center"/>
    </xf>
    <xf numFmtId="0" fontId="11" fillId="5" borderId="46" applyAlignment="1" pivotButton="0" quotePrefix="0" xfId="1">
      <alignment horizontal="center" vertical="center"/>
    </xf>
    <xf numFmtId="0" fontId="20" fillId="5" borderId="46" applyAlignment="1" pivotButton="0" quotePrefix="0" xfId="1">
      <alignment horizontal="center" vertical="center"/>
    </xf>
    <xf numFmtId="10" fontId="12" fillId="5" borderId="48" applyAlignment="1" pivotButton="0" quotePrefix="0" xfId="0">
      <alignment horizontal="center" vertical="center"/>
    </xf>
    <xf numFmtId="10" fontId="12" fillId="5" borderId="49" applyAlignment="1" pivotButton="0" quotePrefix="0" xfId="0">
      <alignment horizontal="center" vertical="center"/>
    </xf>
    <xf numFmtId="0" fontId="0" fillId="0" borderId="22" pivotButton="0" quotePrefix="0" xfId="0"/>
    <xf numFmtId="0" fontId="0" fillId="0" borderId="26" pivotButton="0" quotePrefix="0" xfId="0"/>
    <xf numFmtId="0" fontId="0" fillId="0" borderId="38" applyAlignment="1" pivotButton="0" quotePrefix="0" xfId="0">
      <alignment horizontal="center"/>
    </xf>
    <xf numFmtId="0" fontId="0" fillId="0" borderId="52" pivotButton="0" quotePrefix="0" xfId="0"/>
    <xf numFmtId="0" fontId="0" fillId="0" borderId="35" pivotButton="0" quotePrefix="0" xfId="0"/>
    <xf numFmtId="0" fontId="0" fillId="0" borderId="53" applyAlignment="1" pivotButton="0" quotePrefix="0" xfId="0">
      <alignment horizontal="center"/>
    </xf>
    <xf numFmtId="0" fontId="27" fillId="4" borderId="23" applyAlignment="1" pivotButton="0" quotePrefix="0" xfId="0">
      <alignment horizontal="center" vertical="center"/>
    </xf>
    <xf numFmtId="0" fontId="0" fillId="0" borderId="25" pivotButton="0" quotePrefix="0" xfId="0"/>
    <xf numFmtId="0" fontId="25" fillId="4" borderId="23" applyAlignment="1" pivotButton="0" quotePrefix="0" xfId="0">
      <alignment horizontal="center" vertical="center"/>
    </xf>
    <xf numFmtId="0" fontId="25" fillId="4" borderId="23" applyAlignment="1" pivotButton="0" quotePrefix="0" xfId="0">
      <alignment horizontal="center"/>
    </xf>
  </cellXfs>
  <cellStyles count="2">
    <cellStyle name="Normal" xfId="0" builtinId="0"/>
    <cellStyle name="Hipervínculo" xfId="1" builtinId="8"/>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rPr lang="es-CO"/>
              <a:t>DISPONIBILIDAD SERVICIOS DE TI</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
          </a:r>
          <a:endParaRPr lang="es-CO"/>
        </a:p>
      </txPr>
    </title>
    <plotArea>
      <layout/>
      <barChart>
        <barDir val="col"/>
        <grouping val="clustered"/>
        <varyColors val="0"/>
        <ser>
          <idx val="1"/>
          <order val="0"/>
          <tx>
            <strRef>
              <f>Resumen!$F$4</f>
              <strCache>
                <ptCount val="1"/>
                <pt idx="0">
                  <v>Disponibilidad Servicios Controlados</v>
                </pt>
              </strCache>
            </strRef>
          </tx>
          <spPr>
            <a:gradFill xmlns:a="http://schemas.openxmlformats.org/drawingml/2006/main"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s-CO"/>
              </a:p>
            </txPr>
            <dLblPos val="outEnd"/>
            <showLegendKey val="0"/>
            <showVal val="1"/>
            <showCatName val="0"/>
            <showSerName val="0"/>
            <showPercent val="0"/>
            <showBubbleSize val="0"/>
            <showLeaderLines val="0"/>
          </dLbls>
          <cat>
            <strRef>
              <f>(Resumen!$C$5,Resumen!$C$15,Resumen!$C$20,Resumen!$C$25,Resumen!$C$30,Resumen!$C$35,Resumen!$C$40,Resumen!$C$45,Resumen!$C$50)</f>
              <strCache>
                <ptCount val="9"/>
                <pt idx="0">
                  <v>Telecomunicaciones</v>
                </pt>
                <pt idx="1">
                  <v>Seguridad</v>
                </pt>
                <pt idx="2">
                  <v>Servidores</v>
                </pt>
                <pt idx="3">
                  <v>Internet</v>
                </pt>
                <pt idx="4">
                  <v>Portales</v>
                </pt>
                <pt idx="5">
                  <v>SAP</v>
                </pt>
                <pt idx="6">
                  <v>Correo</v>
                </pt>
                <pt idx="7">
                  <v>Intranet</v>
                </pt>
                <pt idx="8">
                  <v>Totales</v>
                </pt>
              </strCache>
            </strRef>
          </cat>
          <val>
            <numRef>
              <f>(Resumen!$F$5,Resumen!$F$15,Resumen!$F$20,Resumen!$F$25,Resumen!$F$30,Resumen!$F$35,Resumen!$F$40,Resumen!$F$45,Resumen!$F$50)</f>
              <numCache>
                <formatCode>0.00%</formatCode>
                <ptCount val="9"/>
                <pt idx="0">
                  <v>0</v>
                </pt>
                <pt idx="1">
                  <v>0</v>
                </pt>
                <pt idx="2">
                  <formatCode>0.000%</formatCode>
                  <v>0</v>
                </pt>
                <pt idx="3">
                  <v>0</v>
                </pt>
                <pt idx="4">
                  <v>0</v>
                </pt>
                <pt idx="5">
                  <v>0</v>
                </pt>
                <pt idx="6">
                  <v>0</v>
                </pt>
                <pt idx="7">
                  <v>0</v>
                </pt>
                <pt idx="8">
                  <v>0</v>
                </pt>
              </numCache>
            </numRef>
          </val>
        </ser>
        <ser>
          <idx val="2"/>
          <order val="1"/>
          <tx>
            <strRef>
              <f>Resumen!$G$4</f>
              <strCache>
                <ptCount val="1"/>
                <pt idx="0">
                  <v>Disponibilidad Servicios No Controlados</v>
                </pt>
              </strCache>
            </strRef>
          </tx>
          <spPr>
            <a:gradFill xmlns:a="http://schemas.openxmlformats.org/drawingml/2006/main" rotWithShape="1">
              <a:gsLst>
                <a:gs pos="0">
                  <a:schemeClr val="accent3">
                    <a:tint val="94000"/>
                    <a:satMod val="103000"/>
                    <a:lumMod val="102000"/>
                  </a:schemeClr>
                </a:gs>
                <a:gs pos="50000">
                  <a:schemeClr val="accent3">
                    <a:shade val="100000"/>
                    <a:satMod val="110000"/>
                    <a:lumMod val="100000"/>
                  </a:schemeClr>
                </a:gs>
                <a:gs pos="100000">
                  <a:schemeClr val="accent3">
                    <a:shade val="78000"/>
                    <a:satMod val="120000"/>
                    <a:lumMod val="99000"/>
                  </a:schemeClr>
                </a:gs>
              </a:gsLst>
              <a:lin ang="5400000" scaled="0"/>
            </a:gra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s-CO"/>
              </a:p>
            </txPr>
            <dLblPos val="outEnd"/>
            <showLegendKey val="0"/>
            <showVal val="1"/>
            <showCatName val="0"/>
            <showSerName val="0"/>
            <showPercent val="0"/>
            <showBubbleSize val="0"/>
            <showLeaderLines val="0"/>
          </dLbls>
          <cat>
            <strRef>
              <f>(Resumen!$C$5,Resumen!$C$15,Resumen!$C$20,Resumen!$C$25,Resumen!$C$30,Resumen!$C$35,Resumen!$C$40,Resumen!$C$45,Resumen!$C$50)</f>
              <strCache>
                <ptCount val="9"/>
                <pt idx="0">
                  <v>Telecomunicaciones</v>
                </pt>
                <pt idx="1">
                  <v>Seguridad</v>
                </pt>
                <pt idx="2">
                  <v>Servidores</v>
                </pt>
                <pt idx="3">
                  <v>Internet</v>
                </pt>
                <pt idx="4">
                  <v>Portales</v>
                </pt>
                <pt idx="5">
                  <v>SAP</v>
                </pt>
                <pt idx="6">
                  <v>Correo</v>
                </pt>
                <pt idx="7">
                  <v>Intranet</v>
                </pt>
                <pt idx="8">
                  <v>Totales</v>
                </pt>
              </strCache>
            </strRef>
          </cat>
          <val>
            <numRef>
              <f>(Resumen!$G$5,Resumen!$G$15,Resumen!$G$20,Resumen!$G$25,Resumen!$G$30,Resumen!$G$35,Resumen!$G$40,Resumen!$G$45,Resumen!$G$50)</f>
              <numCache>
                <formatCode>0.00%</formatCode>
                <ptCount val="9"/>
                <pt idx="0">
                  <v>0</v>
                </pt>
                <pt idx="1">
                  <v>0</v>
                </pt>
                <pt idx="2">
                  <formatCode>0.000%</formatCode>
                  <v>0</v>
                </pt>
                <pt idx="3">
                  <v>0</v>
                </pt>
                <pt idx="4">
                  <v>0</v>
                </pt>
                <pt idx="5">
                  <v>0</v>
                </pt>
                <pt idx="6">
                  <v>0</v>
                </pt>
                <pt idx="7">
                  <v>0</v>
                </pt>
                <pt idx="8">
                  <v>0</v>
                </pt>
              </numCache>
            </numRef>
          </val>
        </ser>
        <dLbls>
          <dLblPos val="outEnd"/>
          <showLegendKey val="0"/>
          <showVal val="1"/>
          <showCatName val="0"/>
          <showSerName val="0"/>
          <showPercent val="0"/>
          <showBubbleSize val="0"/>
        </dLbls>
        <gapWidth val="100"/>
        <overlap val="-24"/>
        <axId val="199915520"/>
        <axId val="144914624"/>
      </barChart>
      <catAx>
        <axId val="199915520"/>
        <scaling>
          <orientation val="minMax"/>
        </scaling>
        <delete val="0"/>
        <axPos val="b"/>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baseline="0">
                    <a:solidFill>
                      <a:schemeClr val="tx1">
                        <a:lumMod val="65000"/>
                        <a:lumOff val="35000"/>
                      </a:schemeClr>
                    </a:solidFill>
                    <a:latin typeface="+mn-lt"/>
                    <a:ea typeface="+mn-ea"/>
                    <a:cs typeface="+mn-cs"/>
                  </a:defRPr>
                </a:pPr>
                <a:r>
                  <a:rPr lang="es-CO" sz="1400" b="1"/>
                  <a:t>Plataforma</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baseline="0">
                  <a:solidFill>
                    <a:schemeClr val="tx1">
                      <a:lumMod val="65000"/>
                      <a:lumOff val="35000"/>
                    </a:schemeClr>
                  </a:solidFill>
                  <a:latin typeface="+mn-lt"/>
                  <a:ea typeface="+mn-ea"/>
                  <a:cs typeface="+mn-cs"/>
                </a:defRPr>
              </a:pPr>
              <a:r>
                <a:t/>
              </a:r>
              <a:endParaRPr lang="es-CO"/>
            </a:p>
          </txPr>
        </title>
        <numFmt formatCode="General" sourceLinked="1"/>
        <majorTickMark val="in"/>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44914624"/>
        <crosses val="autoZero"/>
        <auto val="1"/>
        <lblAlgn val="ctr"/>
        <lblOffset val="100"/>
        <noMultiLvlLbl val="0"/>
      </catAx>
      <valAx>
        <axId val="1449146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400" b="1" i="0" strike="noStrike" kern="1200" baseline="0">
                    <a:solidFill>
                      <a:schemeClr val="tx1">
                        <a:lumMod val="65000"/>
                        <a:lumOff val="35000"/>
                      </a:schemeClr>
                    </a:solidFill>
                    <a:latin typeface="+mn-lt"/>
                    <a:ea typeface="+mn-ea"/>
                    <a:cs typeface="+mn-cs"/>
                  </a:defRPr>
                </a:pPr>
                <a:r>
                  <a:rPr lang="es-CO" sz="1400" b="1"/>
                  <a:t>%</a:t>
                </a:r>
                <a:r>
                  <a:rPr lang="es-CO" sz="1400" b="1" baseline="0"/>
                  <a:t xml:space="preserve"> de Disponibilidad</a:t>
                </a:r>
                <a:endParaRPr lang="es-CO" sz="1400" b="1"/>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400" b="1" i="0" strike="noStrike" kern="1200" baseline="0">
                  <a:solidFill>
                    <a:schemeClr val="tx1">
                      <a:lumMod val="65000"/>
                      <a:lumOff val="35000"/>
                    </a:schemeClr>
                  </a:solidFill>
                  <a:latin typeface="+mn-lt"/>
                  <a:ea typeface="+mn-ea"/>
                  <a:cs typeface="+mn-cs"/>
                </a:defRPr>
              </a:pPr>
              <a:r>
                <a:t/>
              </a:r>
              <a:endParaRPr lang="es-CO"/>
            </a:p>
          </txPr>
        </title>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s-CO"/>
          </a:p>
        </txPr>
        <crossAx val="19991552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1.jpeg" Id="rId2"/><Relationship Type="http://schemas.openxmlformats.org/officeDocument/2006/relationships/image" Target="/xl/media/image2.jpeg" Id="rId3"/><Relationship Type="http://schemas.openxmlformats.org/officeDocument/2006/relationships/image" Target="/xl/media/image3.jpeg" Id="rId4"/></Relationships>
</file>

<file path=xl/drawings/drawing1.xml><?xml version="1.0" encoding="utf-8"?>
<wsDr xmlns="http://schemas.openxmlformats.org/drawingml/2006/spreadsheetDrawing">
  <twoCellAnchor>
    <from>
      <col>9</col>
      <colOff>423332</colOff>
      <row>18</row>
      <rowOff>9523</rowOff>
    </from>
    <to>
      <col>25</col>
      <colOff>306916</colOff>
      <row>37</row>
      <rowOff>52916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col>
      <colOff>158750</colOff>
      <row>0</row>
      <rowOff>31750</rowOff>
    </from>
    <to>
      <col>2</col>
      <colOff>1401202</colOff>
      <row>0</row>
      <rowOff>539191</rowOff>
    </to>
    <pic>
      <nvPicPr>
        <cNvPr id="4" name="Imagen 2" descr="http://www.comunidad-ola.com/portal/images/Logosempresas/tigo_une_logo.jpg"/>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t="20595" b="20229"/>
        <a:stretch xmlns:a="http://schemas.openxmlformats.org/drawingml/2006/main">
          <a:fillRect/>
        </a:stretch>
      </blipFill>
      <spPr bwMode="auto">
        <a:xfrm xmlns:a="http://schemas.openxmlformats.org/drawingml/2006/main">
          <a:off x="1682750" y="31750"/>
          <a:ext cx="1242452" cy="507441"/>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col>
      <colOff>169334</colOff>
      <row>0</row>
      <rowOff>84666</rowOff>
    </from>
    <to>
      <col>1</col>
      <colOff>1333499</colOff>
      <row>2</row>
      <rowOff>116774</rowOff>
    </to>
    <pic>
      <nvPicPr>
        <cNvPr id="6" name="5 Imagen"/>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931334" y="84666"/>
          <a:ext cx="1164165" cy="868191"/>
        </a:xfrm>
        <a:prstGeom xmlns:a="http://schemas.openxmlformats.org/drawingml/2006/main" prst="rect">
          <avLst/>
        </a:prstGeom>
        <a:ln xmlns:a="http://schemas.openxmlformats.org/drawingml/2006/main">
          <a:prstDash val="solid"/>
        </a:ln>
      </spPr>
    </pic>
    <clientData/>
  </twoCellAnchor>
  <oneCellAnchor>
    <from>
      <col>6</col>
      <colOff>804334</colOff>
      <row>0</row>
      <rowOff>84667</rowOff>
    </from>
    <ext cx="1095375" cy="476251"/>
    <pic>
      <nvPicPr>
        <cNvPr id="5" name="4 Imagen" descr="G:\Knowledge Base\Gestión de Calidad\Documentación\Portal S@MI\Imagen SAMI.png"/>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011584" y="84667"/>
          <a:ext cx="1095375" cy="476251"/>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file:///Y:\Planilla%20Control%20Eventos\2026\Planilla%20Control%20de%20Eventos%20S@MI%20-%20%20Abril%202026.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Resumen"/>
      <sheetName val="Telecomunicaciones"/>
      <sheetName val="Telefonia"/>
      <sheetName val="Seguridad Informatica"/>
      <sheetName val="Servidores"/>
      <sheetName val="Correo"/>
      <sheetName val="Internet"/>
      <sheetName val="Portales"/>
      <sheetName val="Bases de Datos"/>
      <sheetName val="Almacenamiento"/>
      <sheetName val="Hoja1 (2)"/>
      <sheetName val="SAP"/>
      <sheetName val="Intranet"/>
      <sheetName val="Data Center"/>
      <sheetName val="Datos"/>
      <sheetName val="Hoja1"/>
    </sheetNames>
    <sheetDataSet>
      <sheetData sheetId="0"/>
      <sheetData sheetId="1">
        <row r="8">
          <cell r="H8">
            <v>46118.50277777778</v>
          </cell>
          <cell r="L8">
            <v>46118.611111111109</v>
          </cell>
        </row>
        <row r="9">
          <cell r="H9">
            <v>46119.659722222219</v>
          </cell>
          <cell r="L9">
            <v>46119.692361111112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deneb.medellin.gov.co/nagios/cgi-bin/extinfo.cgi?type=1&amp;host=Ap_Mas_Cerca_Guayabal" TargetMode="External" Id="rId1"/></Relationships>
</file>

<file path=xl/worksheets/_rels/sheet8.xml.rels><Relationships xmlns="http://schemas.openxmlformats.org/package/2006/relationships"><Relationship Type="http://schemas.openxmlformats.org/officeDocument/2006/relationships/hyperlink" Target="https://10.1.220.169/mercurio/index.jsp" TargetMode="External" Id="rId1"/></Relationships>
</file>

<file path=xl/worksheets/sheet1.xml><?xml version="1.0" encoding="utf-8"?>
<worksheet xmlns="http://schemas.openxmlformats.org/spreadsheetml/2006/main">
  <sheetPr codeName="Hoja1">
    <outlinePr summaryBelow="1" summaryRight="1"/>
    <pageSetUpPr/>
  </sheetPr>
  <dimension ref="B1:H54"/>
  <sheetViews>
    <sheetView zoomScale="95" zoomScaleNormal="95" workbookViewId="0">
      <selection activeCell="F25" sqref="F25:F29"/>
    </sheetView>
  </sheetViews>
  <sheetFormatPr baseColWidth="8" defaultColWidth="11.42578125" defaultRowHeight="14.45"/>
  <cols>
    <col width="11.42578125" customWidth="1" style="24" min="1" max="1"/>
    <col width="21.7109375" customWidth="1" style="24" min="2" max="2"/>
    <col width="21.85546875" customWidth="1" style="24" min="3" max="3"/>
    <col width="35.28515625" customWidth="1" style="24" min="4" max="4"/>
    <col width="15.5703125" customWidth="1" style="24" min="5" max="5"/>
    <col width="15.28515625" customWidth="1" style="24" min="6" max="7"/>
    <col width="18.7109375" bestFit="1" customWidth="1" style="24" min="8" max="8"/>
    <col width="11.42578125" customWidth="1" style="24" min="9" max="16384"/>
  </cols>
  <sheetData>
    <row r="1" ht="47.25" customHeight="1">
      <c r="B1" s="283" t="n"/>
      <c r="C1" s="337" t="inlineStr">
        <is>
          <t>DISPONIBILIDAD SERVICIOS DE TI</t>
        </is>
      </c>
      <c r="D1" s="338" t="n"/>
      <c r="E1" s="338" t="n"/>
      <c r="F1" s="338" t="n"/>
      <c r="G1" s="338" t="n"/>
      <c r="H1" s="87" t="n"/>
    </row>
    <row r="2" ht="15.6" customHeight="1">
      <c r="B2" s="339" t="n"/>
      <c r="C2" s="47" t="inlineStr">
        <is>
          <t>Mes Evaluado</t>
        </is>
      </c>
      <c r="D2" s="34" t="inlineStr">
        <is>
          <t>Diciembre</t>
        </is>
      </c>
      <c r="E2" s="35" t="n"/>
      <c r="F2" s="340" t="inlineStr">
        <is>
          <t>Año</t>
        </is>
      </c>
      <c r="G2" s="341" t="n">
        <v>2017</v>
      </c>
      <c r="H2" s="342" t="n"/>
    </row>
    <row r="3" ht="15.95" customHeight="1" thickBot="1">
      <c r="B3" s="90" t="n"/>
      <c r="C3" s="47" t="inlineStr">
        <is>
          <t>Días del mes</t>
        </is>
      </c>
      <c r="D3" s="34" t="n">
        <v>31</v>
      </c>
      <c r="E3" s="36" t="n"/>
      <c r="F3" s="90" t="n"/>
      <c r="G3" s="90" t="n"/>
      <c r="H3" s="90" t="n"/>
    </row>
    <row r="4" ht="39.95" customHeight="1" thickBot="1" thickTop="1">
      <c r="B4" s="45" t="inlineStr">
        <is>
          <t>Item</t>
        </is>
      </c>
      <c r="C4" s="45" t="inlineStr">
        <is>
          <t>Plataforma</t>
        </is>
      </c>
      <c r="D4" s="45" t="inlineStr">
        <is>
          <t>Información</t>
        </is>
      </c>
      <c r="E4" s="343" t="n"/>
      <c r="F4" s="46" t="inlineStr">
        <is>
          <t>Disponibilidad Servicios Controlados</t>
        </is>
      </c>
      <c r="G4" s="46" t="inlineStr">
        <is>
          <t>Disponibilidad Servicios No Controlados</t>
        </is>
      </c>
      <c r="H4" s="46" t="inlineStr">
        <is>
          <t>Disponibilidad Total</t>
        </is>
      </c>
    </row>
    <row r="5" ht="16.5" customHeight="1" thickTop="1">
      <c r="B5" s="344" t="n">
        <v>1</v>
      </c>
      <c r="C5" s="345" t="inlineStr">
        <is>
          <t>Telecomunicaciones</t>
        </is>
      </c>
      <c r="D5" s="25" t="inlineStr">
        <is>
          <t>Número de dispositivos:</t>
        </is>
      </c>
      <c r="E5" s="37" t="n">
        <v>158</v>
      </c>
      <c r="F5" s="346">
        <f>(E6-E8)/E6</f>
        <v/>
      </c>
      <c r="G5" s="346">
        <f>(E6-E7)/E6</f>
        <v/>
      </c>
      <c r="H5" s="347">
        <f>(E6-E9)/E6</f>
        <v/>
      </c>
    </row>
    <row r="6" ht="16.5" customHeight="1">
      <c r="B6" s="348" t="n"/>
      <c r="C6" s="348" t="n"/>
      <c r="D6" s="26" t="inlineStr">
        <is>
          <t>Total de horas:</t>
        </is>
      </c>
      <c r="E6" s="38">
        <f>(24*$D$3)*E5</f>
        <v/>
      </c>
      <c r="F6" s="339" t="n"/>
      <c r="G6" s="339" t="n"/>
      <c r="H6" s="349" t="n"/>
    </row>
    <row r="7" ht="15" customHeight="1">
      <c r="B7" s="348" t="n"/>
      <c r="C7" s="348" t="n"/>
      <c r="D7" s="26" t="inlineStr">
        <is>
          <t>Horas sin servicio (No controlada)</t>
        </is>
      </c>
      <c r="E7" s="39">
        <f>+Telecomunicaciones!#REF!</f>
        <v/>
      </c>
      <c r="F7" s="339" t="n"/>
      <c r="G7" s="339" t="n"/>
      <c r="H7" s="349" t="n"/>
    </row>
    <row r="8" ht="16.5" customHeight="1">
      <c r="B8" s="348" t="n"/>
      <c r="C8" s="348" t="n"/>
      <c r="D8" s="26" t="inlineStr">
        <is>
          <t>Horas sin servicio (controlada)</t>
        </is>
      </c>
      <c r="E8" s="39">
        <f>+Telecomunicaciones!#REF!</f>
        <v/>
      </c>
      <c r="F8" s="339" t="n"/>
      <c r="G8" s="339" t="n"/>
      <c r="H8" s="349" t="n"/>
    </row>
    <row r="9" ht="16.5" customHeight="1" thickBot="1">
      <c r="B9" s="350" t="n"/>
      <c r="C9" s="350" t="n"/>
      <c r="D9" s="27" t="inlineStr">
        <is>
          <t>Horas total sin servicio:</t>
        </is>
      </c>
      <c r="E9" s="40">
        <f>SUM(E7:E8)</f>
        <v/>
      </c>
      <c r="F9" s="351" t="n"/>
      <c r="G9" s="351" t="n"/>
      <c r="H9" s="352" t="n"/>
    </row>
    <row r="10" ht="16.5" customHeight="1">
      <c r="B10" s="344" t="n">
        <v>2</v>
      </c>
      <c r="C10" s="345" t="inlineStr">
        <is>
          <t>Telefonía</t>
        </is>
      </c>
      <c r="D10" s="25" t="inlineStr">
        <is>
          <t>Número de dispositivos:</t>
        </is>
      </c>
      <c r="E10" s="37" t="n">
        <v>16</v>
      </c>
      <c r="F10" s="346">
        <f>(E11-E13)/E11</f>
        <v/>
      </c>
      <c r="G10" s="346">
        <f>(E11-E12)/E11</f>
        <v/>
      </c>
      <c r="H10" s="347">
        <f>(E11-E14)/E11</f>
        <v/>
      </c>
    </row>
    <row r="11" ht="16.5" customHeight="1">
      <c r="B11" s="348" t="n"/>
      <c r="C11" s="348" t="n"/>
      <c r="D11" s="26" t="inlineStr">
        <is>
          <t>Total de horas:</t>
        </is>
      </c>
      <c r="E11" s="38">
        <f>(24*$D$3)*E10</f>
        <v/>
      </c>
      <c r="F11" s="339" t="n"/>
      <c r="G11" s="339" t="n"/>
      <c r="H11" s="349" t="n"/>
    </row>
    <row r="12" ht="16.5" customHeight="1">
      <c r="B12" s="348" t="n"/>
      <c r="C12" s="348" t="n"/>
      <c r="D12" s="26" t="inlineStr">
        <is>
          <t>Horas sin servicio (No controlada)</t>
        </is>
      </c>
      <c r="E12" s="39">
        <f>+Telefonia!#REF!</f>
        <v/>
      </c>
      <c r="F12" s="339" t="n"/>
      <c r="G12" s="339" t="n"/>
      <c r="H12" s="349" t="n"/>
    </row>
    <row r="13" ht="16.5" customHeight="1">
      <c r="B13" s="348" t="n"/>
      <c r="C13" s="348" t="n"/>
      <c r="D13" s="26" t="inlineStr">
        <is>
          <t>Horas sin servicio (controlada)</t>
        </is>
      </c>
      <c r="E13" s="39">
        <f>+Telefonia!#REF!</f>
        <v/>
      </c>
      <c r="F13" s="339" t="n"/>
      <c r="G13" s="339" t="n"/>
      <c r="H13" s="349" t="n"/>
    </row>
    <row r="14" ht="16.5" customHeight="1" thickBot="1">
      <c r="B14" s="350" t="n"/>
      <c r="C14" s="350" t="n"/>
      <c r="D14" s="27" t="inlineStr">
        <is>
          <t>Horas total sin servicio:</t>
        </is>
      </c>
      <c r="E14" s="40">
        <f>SUM(E12:E13)</f>
        <v/>
      </c>
      <c r="F14" s="351" t="n"/>
      <c r="G14" s="351" t="n"/>
      <c r="H14" s="352" t="n"/>
    </row>
    <row r="15" ht="16.5" customHeight="1">
      <c r="B15" s="344" t="n">
        <v>3</v>
      </c>
      <c r="C15" s="345" t="inlineStr">
        <is>
          <t>Seguridad</t>
        </is>
      </c>
      <c r="D15" s="28" t="inlineStr">
        <is>
          <t>Número de dispositivos:</t>
        </is>
      </c>
      <c r="E15" s="37" t="n">
        <v>18</v>
      </c>
      <c r="F15" s="346">
        <f>(E16-E18)/E16</f>
        <v/>
      </c>
      <c r="G15" s="346">
        <f>(E16-E17)/E16</f>
        <v/>
      </c>
      <c r="H15" s="347">
        <f>(E16-E19)/E16</f>
        <v/>
      </c>
    </row>
    <row r="16" ht="16.5" customHeight="1">
      <c r="B16" s="348" t="n"/>
      <c r="C16" s="348" t="n"/>
      <c r="D16" s="29" t="inlineStr">
        <is>
          <t>Total de horas:</t>
        </is>
      </c>
      <c r="E16" s="38">
        <f>(24*$D$3)*E15</f>
        <v/>
      </c>
      <c r="F16" s="339" t="n"/>
      <c r="G16" s="339" t="n"/>
      <c r="H16" s="349" t="n"/>
    </row>
    <row r="17" ht="16.5" customHeight="1">
      <c r="B17" s="348" t="n"/>
      <c r="C17" s="348" t="n"/>
      <c r="D17" s="29" t="inlineStr">
        <is>
          <t>Horas sin servicio (No controlada)</t>
        </is>
      </c>
      <c r="E17" s="39">
        <f>+'Seguridad Informatica'!#REF!</f>
        <v/>
      </c>
      <c r="F17" s="339" t="n"/>
      <c r="G17" s="339" t="n"/>
      <c r="H17" s="349" t="n"/>
    </row>
    <row r="18" ht="16.5" customHeight="1">
      <c r="B18" s="348" t="n"/>
      <c r="C18" s="348" t="n"/>
      <c r="D18" s="29" t="inlineStr">
        <is>
          <t>Horas sin servicio (controlada)</t>
        </is>
      </c>
      <c r="E18" s="39">
        <f>+'Seguridad Informatica'!#REF!</f>
        <v/>
      </c>
      <c r="F18" s="339" t="n"/>
      <c r="G18" s="339" t="n"/>
      <c r="H18" s="349" t="n"/>
    </row>
    <row r="19" ht="15.75" customHeight="1" thickBot="1">
      <c r="B19" s="350" t="n"/>
      <c r="C19" s="350" t="n"/>
      <c r="D19" s="30" t="inlineStr">
        <is>
          <t>Horas total sin servicio:</t>
        </is>
      </c>
      <c r="E19" s="40">
        <f>SUM(E17:E18)</f>
        <v/>
      </c>
      <c r="F19" s="351" t="n"/>
      <c r="G19" s="351" t="n"/>
      <c r="H19" s="352" t="n"/>
    </row>
    <row r="20" ht="15" customHeight="1">
      <c r="B20" s="344" t="n">
        <v>4</v>
      </c>
      <c r="C20" s="345" t="inlineStr">
        <is>
          <t>Servidores</t>
        </is>
      </c>
      <c r="D20" s="25" t="inlineStr">
        <is>
          <t>Número de dispositivos:</t>
        </is>
      </c>
      <c r="E20" s="37" t="n">
        <v>196</v>
      </c>
      <c r="F20" s="353">
        <f>(E21-E23)/E21</f>
        <v/>
      </c>
      <c r="G20" s="353">
        <f>(E21-E22)/E21</f>
        <v/>
      </c>
      <c r="H20" s="347">
        <f>(E21-E24)/E21</f>
        <v/>
      </c>
    </row>
    <row r="21" ht="15" customHeight="1">
      <c r="B21" s="348" t="n"/>
      <c r="C21" s="348" t="n"/>
      <c r="D21" s="26" t="inlineStr">
        <is>
          <t>Total de horas:</t>
        </is>
      </c>
      <c r="E21" s="38">
        <f>(24*$D$3)*E20</f>
        <v/>
      </c>
      <c r="F21" s="339" t="n"/>
      <c r="G21" s="339" t="n"/>
      <c r="H21" s="349" t="n"/>
    </row>
    <row r="22" ht="15" customHeight="1">
      <c r="B22" s="348" t="n"/>
      <c r="C22" s="348" t="n"/>
      <c r="D22" s="26" t="inlineStr">
        <is>
          <t>Horas sin servicio (No controlada)</t>
        </is>
      </c>
      <c r="E22" s="39">
        <f>+#REF!</f>
        <v/>
      </c>
      <c r="F22" s="339" t="n"/>
      <c r="G22" s="339" t="n"/>
      <c r="H22" s="349" t="n"/>
    </row>
    <row r="23" ht="16.5" customHeight="1">
      <c r="B23" s="348" t="n"/>
      <c r="C23" s="348" t="n"/>
      <c r="D23" s="26" t="inlineStr">
        <is>
          <t>Horas sin servicio (controlada)</t>
        </is>
      </c>
      <c r="E23" s="39">
        <f>+#REF!</f>
        <v/>
      </c>
      <c r="F23" s="339" t="n"/>
      <c r="G23" s="339" t="n"/>
      <c r="H23" s="349" t="n"/>
    </row>
    <row r="24" ht="15" customHeight="1" thickBot="1">
      <c r="B24" s="350" t="n"/>
      <c r="C24" s="350" t="n"/>
      <c r="D24" s="27" t="inlineStr">
        <is>
          <t>Horas total sin servicio:</t>
        </is>
      </c>
      <c r="E24" s="40">
        <f>SUM(E22:E23)</f>
        <v/>
      </c>
      <c r="F24" s="351" t="n"/>
      <c r="G24" s="351" t="n"/>
      <c r="H24" s="352" t="n"/>
    </row>
    <row r="25" ht="15" customHeight="1">
      <c r="B25" s="344" t="n">
        <v>5</v>
      </c>
      <c r="C25" s="345" t="inlineStr">
        <is>
          <t>Internet</t>
        </is>
      </c>
      <c r="D25" s="25" t="inlineStr">
        <is>
          <t>Número de dispositivos:</t>
        </is>
      </c>
      <c r="E25" s="37" t="n">
        <v>6</v>
      </c>
      <c r="F25" s="346">
        <f>(E26-E28)/E26</f>
        <v/>
      </c>
      <c r="G25" s="346">
        <f>(E26-E27)/E26</f>
        <v/>
      </c>
      <c r="H25" s="347">
        <f>(E26-E29)/E26</f>
        <v/>
      </c>
    </row>
    <row r="26" ht="15" customHeight="1">
      <c r="B26" s="348" t="n"/>
      <c r="C26" s="348" t="n"/>
      <c r="D26" s="26" t="inlineStr">
        <is>
          <t>Total de horas:</t>
        </is>
      </c>
      <c r="E26" s="38">
        <f>(24*$D$3)*E25</f>
        <v/>
      </c>
      <c r="F26" s="339" t="n"/>
      <c r="G26" s="339" t="n"/>
      <c r="H26" s="349" t="n"/>
    </row>
    <row r="27" ht="15" customHeight="1">
      <c r="B27" s="348" t="n"/>
      <c r="C27" s="348" t="n"/>
      <c r="D27" s="26" t="inlineStr">
        <is>
          <t>Horas sin servicio (No controlada)</t>
        </is>
      </c>
      <c r="E27" s="39">
        <f>+#REF!</f>
        <v/>
      </c>
      <c r="F27" s="339" t="n"/>
      <c r="G27" s="339" t="n"/>
      <c r="H27" s="349" t="n"/>
    </row>
    <row r="28" ht="15" customHeight="1">
      <c r="B28" s="348" t="n"/>
      <c r="C28" s="348" t="n"/>
      <c r="D28" s="26" t="inlineStr">
        <is>
          <t>Horas sin servicio (controlada)</t>
        </is>
      </c>
      <c r="E28" s="39">
        <f>+#REF!</f>
        <v/>
      </c>
      <c r="F28" s="339" t="n"/>
      <c r="G28" s="339" t="n"/>
      <c r="H28" s="349" t="n"/>
    </row>
    <row r="29" ht="15.75" customHeight="1" thickBot="1">
      <c r="B29" s="350" t="n"/>
      <c r="C29" s="350" t="n"/>
      <c r="D29" s="27" t="inlineStr">
        <is>
          <t>Horas total sin servicio:</t>
        </is>
      </c>
      <c r="E29" s="40">
        <f>SUM(E27:E28)</f>
        <v/>
      </c>
      <c r="F29" s="351" t="n"/>
      <c r="G29" s="351" t="n"/>
      <c r="H29" s="352" t="n"/>
    </row>
    <row r="30" ht="15" customHeight="1">
      <c r="B30" s="344" t="n">
        <v>6</v>
      </c>
      <c r="C30" s="345" t="inlineStr">
        <is>
          <t>Portales</t>
        </is>
      </c>
      <c r="D30" s="25" t="inlineStr">
        <is>
          <t>Número de dispositivos:</t>
        </is>
      </c>
      <c r="E30" s="37" t="n">
        <v>31</v>
      </c>
      <c r="F30" s="346">
        <f>(E31-E33)/E31</f>
        <v/>
      </c>
      <c r="G30" s="346">
        <f>(E31-E32)/E31</f>
        <v/>
      </c>
      <c r="H30" s="347">
        <f>(E31-E34)/E31</f>
        <v/>
      </c>
    </row>
    <row r="31" ht="15" customHeight="1">
      <c r="B31" s="348" t="n"/>
      <c r="C31" s="348" t="n"/>
      <c r="D31" s="26" t="inlineStr">
        <is>
          <t>Total de horas:</t>
        </is>
      </c>
      <c r="E31" s="38">
        <f>(24*$D$3)*E30</f>
        <v/>
      </c>
      <c r="F31" s="339" t="n"/>
      <c r="G31" s="339" t="n"/>
      <c r="H31" s="349" t="n"/>
    </row>
    <row r="32" ht="15" customHeight="1">
      <c r="B32" s="348" t="n"/>
      <c r="C32" s="348" t="n"/>
      <c r="D32" s="26" t="inlineStr">
        <is>
          <t>Horas sin servicio (No controlada)</t>
        </is>
      </c>
      <c r="E32" s="39">
        <f>+#REF!</f>
        <v/>
      </c>
      <c r="F32" s="339" t="n"/>
      <c r="G32" s="339" t="n"/>
      <c r="H32" s="349" t="n"/>
    </row>
    <row r="33" ht="15" customHeight="1">
      <c r="B33" s="348" t="n"/>
      <c r="C33" s="348" t="n"/>
      <c r="D33" s="26" t="inlineStr">
        <is>
          <t>Horas sin servicio (controlada)</t>
        </is>
      </c>
      <c r="E33" s="39">
        <f>+#REF!</f>
        <v/>
      </c>
      <c r="F33" s="339" t="n"/>
      <c r="G33" s="339" t="n"/>
      <c r="H33" s="349" t="n"/>
    </row>
    <row r="34" ht="15.75" customHeight="1" thickBot="1">
      <c r="B34" s="350" t="n"/>
      <c r="C34" s="350" t="n"/>
      <c r="D34" s="27" t="inlineStr">
        <is>
          <t>Horas total sin servicio:</t>
        </is>
      </c>
      <c r="E34" s="40">
        <f>SUM(E32:E33)</f>
        <v/>
      </c>
      <c r="F34" s="351" t="n"/>
      <c r="G34" s="351" t="n"/>
      <c r="H34" s="352" t="n"/>
    </row>
    <row r="35" ht="15" customHeight="1">
      <c r="B35" s="344" t="n">
        <v>7</v>
      </c>
      <c r="C35" s="345" t="inlineStr">
        <is>
          <t>SAP</t>
        </is>
      </c>
      <c r="D35" s="25" t="inlineStr">
        <is>
          <t>Número de dispositivos:</t>
        </is>
      </c>
      <c r="E35" s="37" t="n">
        <v>3</v>
      </c>
      <c r="F35" s="346">
        <f>(E36-E38)/E36</f>
        <v/>
      </c>
      <c r="G35" s="346">
        <f>(E36-E37)/E36</f>
        <v/>
      </c>
      <c r="H35" s="347">
        <f>(E36-E39)/E36</f>
        <v/>
      </c>
    </row>
    <row r="36" ht="15" customHeight="1">
      <c r="B36" s="348" t="n"/>
      <c r="C36" s="348" t="n"/>
      <c r="D36" s="26" t="inlineStr">
        <is>
          <t>Total de horas:</t>
        </is>
      </c>
      <c r="E36" s="38">
        <f>(24*$D$3)*E35</f>
        <v/>
      </c>
      <c r="F36" s="339" t="n"/>
      <c r="G36" s="339" t="n"/>
      <c r="H36" s="349" t="n"/>
    </row>
    <row r="37" ht="15" customHeight="1">
      <c r="B37" s="348" t="n"/>
      <c r="C37" s="348" t="n"/>
      <c r="D37" s="26" t="inlineStr">
        <is>
          <t>Horas sin servicio (No controlada)</t>
        </is>
      </c>
      <c r="E37" s="39">
        <f>+SAP!#REF!</f>
        <v/>
      </c>
      <c r="F37" s="339" t="n"/>
      <c r="G37" s="339" t="n"/>
      <c r="H37" s="349" t="n"/>
    </row>
    <row r="38" ht="15" customHeight="1">
      <c r="B38" s="348" t="n"/>
      <c r="C38" s="348" t="n"/>
      <c r="D38" s="26" t="inlineStr">
        <is>
          <t>Horas sin servicio (controlada)</t>
        </is>
      </c>
      <c r="E38" s="39">
        <f>+SAP!#REF!</f>
        <v/>
      </c>
      <c r="F38" s="339" t="n"/>
      <c r="G38" s="339" t="n"/>
      <c r="H38" s="349" t="n"/>
    </row>
    <row r="39" ht="15.75" customHeight="1" thickBot="1">
      <c r="B39" s="350" t="n"/>
      <c r="C39" s="350" t="n"/>
      <c r="D39" s="27" t="inlineStr">
        <is>
          <t>Horas total sin servicio:</t>
        </is>
      </c>
      <c r="E39" s="40">
        <f>SUM(E37:E38)</f>
        <v/>
      </c>
      <c r="F39" s="351" t="n"/>
      <c r="G39" s="351" t="n"/>
      <c r="H39" s="352" t="n"/>
    </row>
    <row r="40" ht="15" customHeight="1">
      <c r="B40" s="344" t="n">
        <v>8</v>
      </c>
      <c r="C40" s="354" t="inlineStr">
        <is>
          <t>Correo</t>
        </is>
      </c>
      <c r="D40" s="25" t="inlineStr">
        <is>
          <t>Número de dispositivos:</t>
        </is>
      </c>
      <c r="E40" s="37" t="n">
        <v>1</v>
      </c>
      <c r="F40" s="346">
        <f>(E41-E43)/E41</f>
        <v/>
      </c>
      <c r="G40" s="346">
        <f>(E41-E42)/E41</f>
        <v/>
      </c>
      <c r="H40" s="347">
        <f>(E41-E44)/E41</f>
        <v/>
      </c>
    </row>
    <row r="41" ht="15" customHeight="1">
      <c r="B41" s="348" t="n"/>
      <c r="C41" s="348" t="n"/>
      <c r="D41" s="26" t="inlineStr">
        <is>
          <t>Total de horas:</t>
        </is>
      </c>
      <c r="E41" s="38">
        <f>(24*$D$3)*E40</f>
        <v/>
      </c>
      <c r="F41" s="339" t="n"/>
      <c r="G41" s="339" t="n"/>
      <c r="H41" s="349" t="n"/>
    </row>
    <row r="42" ht="15" customHeight="1">
      <c r="B42" s="348" t="n"/>
      <c r="C42" s="348" t="n"/>
      <c r="D42" s="26" t="inlineStr">
        <is>
          <t>Horas sin servicio (No controlada)</t>
        </is>
      </c>
      <c r="E42" s="39">
        <f>+#REF!</f>
        <v/>
      </c>
      <c r="F42" s="339" t="n"/>
      <c r="G42" s="339" t="n"/>
      <c r="H42" s="349" t="n"/>
    </row>
    <row r="43" ht="15" customHeight="1">
      <c r="B43" s="348" t="n"/>
      <c r="C43" s="348" t="n"/>
      <c r="D43" s="26" t="inlineStr">
        <is>
          <t>Horas sin servicio (controlada)</t>
        </is>
      </c>
      <c r="E43" s="39">
        <f>+#REF!</f>
        <v/>
      </c>
      <c r="F43" s="339" t="n"/>
      <c r="G43" s="339" t="n"/>
      <c r="H43" s="349" t="n"/>
    </row>
    <row r="44" ht="15.75" customHeight="1" thickBot="1">
      <c r="B44" s="350" t="n"/>
      <c r="C44" s="350" t="n"/>
      <c r="D44" s="27" t="inlineStr">
        <is>
          <t>Horas total sin servicio:</t>
        </is>
      </c>
      <c r="E44" s="40">
        <f>SUM(E42:E43)</f>
        <v/>
      </c>
      <c r="F44" s="351" t="n"/>
      <c r="G44" s="351" t="n"/>
      <c r="H44" s="352" t="n"/>
    </row>
    <row r="45" ht="15" customHeight="1">
      <c r="B45" s="344" t="n">
        <v>9</v>
      </c>
      <c r="C45" s="345" t="inlineStr">
        <is>
          <t>Intranet</t>
        </is>
      </c>
      <c r="D45" s="25" t="inlineStr">
        <is>
          <t>Número de dispositivos:</t>
        </is>
      </c>
      <c r="E45" s="37" t="n">
        <v>1</v>
      </c>
      <c r="F45" s="346">
        <f>(E46-E48)/E46</f>
        <v/>
      </c>
      <c r="G45" s="346">
        <f>(E46-E47)/E46</f>
        <v/>
      </c>
      <c r="H45" s="347">
        <f>(E46-E49)/E46</f>
        <v/>
      </c>
    </row>
    <row r="46" ht="15" customHeight="1">
      <c r="B46" s="348" t="n"/>
      <c r="C46" s="348" t="n"/>
      <c r="D46" s="26" t="inlineStr">
        <is>
          <t>Total de horas:</t>
        </is>
      </c>
      <c r="E46" s="38">
        <f>(24*$D$3)*E45</f>
        <v/>
      </c>
      <c r="F46" s="339" t="n"/>
      <c r="G46" s="339" t="n"/>
      <c r="H46" s="349" t="n"/>
    </row>
    <row r="47" ht="15" customHeight="1">
      <c r="B47" s="348" t="n"/>
      <c r="C47" s="348" t="n"/>
      <c r="D47" s="26" t="inlineStr">
        <is>
          <t>Horas sin servicio (No controlada)</t>
        </is>
      </c>
      <c r="E47" s="39">
        <f>+#REF!</f>
        <v/>
      </c>
      <c r="F47" s="339" t="n"/>
      <c r="G47" s="339" t="n"/>
      <c r="H47" s="349" t="n"/>
    </row>
    <row r="48" ht="15" customHeight="1">
      <c r="B48" s="348" t="n"/>
      <c r="C48" s="348" t="n"/>
      <c r="D48" s="26" t="inlineStr">
        <is>
          <t>Horas sin servicio (controlada)</t>
        </is>
      </c>
      <c r="E48" s="39">
        <f>+#REF!</f>
        <v/>
      </c>
      <c r="F48" s="339" t="n"/>
      <c r="G48" s="339" t="n"/>
      <c r="H48" s="349" t="n"/>
    </row>
    <row r="49" ht="15.75" customHeight="1" thickBot="1">
      <c r="B49" s="350" t="n"/>
      <c r="C49" s="350" t="n"/>
      <c r="D49" s="27" t="inlineStr">
        <is>
          <t>Horas total sin servicio:</t>
        </is>
      </c>
      <c r="E49" s="40">
        <f>SUM(E47:E48)</f>
        <v/>
      </c>
      <c r="F49" s="351" t="n"/>
      <c r="G49" s="351" t="n"/>
      <c r="H49" s="352" t="n"/>
    </row>
    <row r="50" ht="15" customHeight="1">
      <c r="B50" s="355" t="n"/>
      <c r="C50" s="356" t="inlineStr">
        <is>
          <t>Totales</t>
        </is>
      </c>
      <c r="D50" s="31" t="inlineStr">
        <is>
          <t>Número de dispositivos:</t>
        </is>
      </c>
      <c r="E50" s="41">
        <f>SUM(E5,E15,E20,E25,E30,E35,E40,E45)</f>
        <v/>
      </c>
      <c r="F50" s="357">
        <f>(E51-E53)/E51</f>
        <v/>
      </c>
      <c r="G50" s="357">
        <f>(E51-E52)/E51</f>
        <v/>
      </c>
      <c r="H50" s="358">
        <f>(E51-E54)/E51</f>
        <v/>
      </c>
    </row>
    <row r="51" ht="15" customHeight="1">
      <c r="B51" s="348" t="n"/>
      <c r="C51" s="348" t="n"/>
      <c r="D51" s="32" t="inlineStr">
        <is>
          <t>Total de horas:</t>
        </is>
      </c>
      <c r="E51" s="42">
        <f>(24*$D$3)*E50</f>
        <v/>
      </c>
      <c r="F51" s="339" t="n"/>
      <c r="G51" s="339" t="n"/>
      <c r="H51" s="349" t="n"/>
    </row>
    <row r="52" ht="15" customHeight="1">
      <c r="B52" s="348" t="n"/>
      <c r="C52" s="348" t="n"/>
      <c r="D52" s="32" t="inlineStr">
        <is>
          <t>Horas sin servicio (No controlada)</t>
        </is>
      </c>
      <c r="E52" s="43">
        <f>SUM(E7,E17,E22,E27,E32,E37,E42,E47)</f>
        <v/>
      </c>
      <c r="F52" s="339" t="n"/>
      <c r="G52" s="339" t="n"/>
      <c r="H52" s="349" t="n"/>
    </row>
    <row r="53" ht="15" customHeight="1">
      <c r="B53" s="348" t="n"/>
      <c r="C53" s="348" t="n"/>
      <c r="D53" s="32" t="inlineStr">
        <is>
          <t>Horas sin servicio (controlada)</t>
        </is>
      </c>
      <c r="E53" s="43">
        <f>SUM(E8,E43,E18,E23,E28,E33,E38,E48)</f>
        <v/>
      </c>
      <c r="F53" s="339" t="n"/>
      <c r="G53" s="339" t="n"/>
      <c r="H53" s="349" t="n"/>
    </row>
    <row r="54" ht="15.75" customHeight="1" thickBot="1">
      <c r="B54" s="350" t="n"/>
      <c r="C54" s="350" t="n"/>
      <c r="D54" s="33" t="inlineStr">
        <is>
          <t>Horas total sin servicio:</t>
        </is>
      </c>
      <c r="E54" s="44">
        <f>SUM(E52:E53)</f>
        <v/>
      </c>
      <c r="F54" s="351" t="n"/>
      <c r="G54" s="351" t="n"/>
      <c r="H54" s="352" t="n"/>
    </row>
  </sheetData>
  <mergeCells count="56">
    <mergeCell ref="F35:F39"/>
    <mergeCell ref="F50:F54"/>
    <mergeCell ref="G5:G9"/>
    <mergeCell ref="C40:C44"/>
    <mergeCell ref="B10:B14"/>
    <mergeCell ref="G30:G34"/>
    <mergeCell ref="B15:B19"/>
    <mergeCell ref="F2:F3"/>
    <mergeCell ref="B5:B9"/>
    <mergeCell ref="H2:H3"/>
    <mergeCell ref="G45:G49"/>
    <mergeCell ref="H15:H19"/>
    <mergeCell ref="B40:B44"/>
    <mergeCell ref="G35:G39"/>
    <mergeCell ref="G20:G24"/>
    <mergeCell ref="B30:B34"/>
    <mergeCell ref="B20:B24"/>
    <mergeCell ref="G25:G29"/>
    <mergeCell ref="G50:G54"/>
    <mergeCell ref="B45:B49"/>
    <mergeCell ref="C15:C19"/>
    <mergeCell ref="G40:G44"/>
    <mergeCell ref="B35:B39"/>
    <mergeCell ref="B50:B54"/>
    <mergeCell ref="H30:H34"/>
    <mergeCell ref="G15:G19"/>
    <mergeCell ref="F10:F14"/>
    <mergeCell ref="H35:H39"/>
    <mergeCell ref="H20:H24"/>
    <mergeCell ref="C30:C34"/>
    <mergeCell ref="B25:B29"/>
    <mergeCell ref="H5:H9"/>
    <mergeCell ref="F25:F29"/>
    <mergeCell ref="D4:E4"/>
    <mergeCell ref="H10:H14"/>
    <mergeCell ref="C5:C9"/>
    <mergeCell ref="H50:H54"/>
    <mergeCell ref="F15:F19"/>
    <mergeCell ref="C45:C49"/>
    <mergeCell ref="F5:F9"/>
    <mergeCell ref="F20:F24"/>
    <mergeCell ref="C35:C39"/>
    <mergeCell ref="F40:F44"/>
    <mergeCell ref="H40:H44"/>
    <mergeCell ref="G10:G14"/>
    <mergeCell ref="B1:B3"/>
    <mergeCell ref="F30:F34"/>
    <mergeCell ref="C20:C24"/>
    <mergeCell ref="H25:H29"/>
    <mergeCell ref="C25:C29"/>
    <mergeCell ref="C10:C14"/>
    <mergeCell ref="C50:C54"/>
    <mergeCell ref="G2:G3"/>
    <mergeCell ref="F45:F49"/>
    <mergeCell ref="H45:H49"/>
    <mergeCell ref="C1:H1"/>
  </mergeCells>
  <dataValidations disablePrompts="1" count="1">
    <dataValidation sqref="D2:E2" showDropDown="0" showInputMessage="1" showErrorMessage="1" allowBlank="1" type="list">
      <formula1>Mes</formula1>
    </dataValidation>
  </dataValidations>
  <hyperlinks>
    <hyperlink ref="C5" location="Telecomunicaciones!A1" display="Telecomunicaciones"/>
    <hyperlink ref="C10" location="Telefonia!A1" display="Telecomunicaciones"/>
    <hyperlink ref="C15" location="'Seguridad Informatica'!A1" display="Seguridad"/>
    <hyperlink ref="C20" location="Servidores!A1" display="Servidores"/>
    <hyperlink ref="C25" location="Internet!A1" display="Internet"/>
    <hyperlink ref="C30" location="'Portales '!A1" display="Portales"/>
    <hyperlink ref="C35" location="SAP!A1" display="SAP"/>
    <hyperlink ref="C45" location="Intranet!A1" display="Intranet"/>
  </hyperlink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codeName="Hoja2">
    <outlinePr summaryBelow="1" summaryRight="1"/>
    <pageSetUpPr/>
  </sheetPr>
  <dimension ref="A1:P1045853"/>
  <sheetViews>
    <sheetView tabSelected="1" zoomScale="70" zoomScaleNormal="70" zoomScaleSheetLayoutView="100" workbookViewId="0">
      <pane ySplit="2" topLeftCell="A3" activePane="bottomLeft" state="frozen"/>
      <selection pane="bottomLeft" activeCell="A2" sqref="A2"/>
    </sheetView>
  </sheetViews>
  <sheetFormatPr baseColWidth="8" defaultColWidth="0" defaultRowHeight="15.6"/>
  <cols>
    <col width="10.7109375" bestFit="1" customWidth="1" style="96" min="1" max="1"/>
    <col width="51.5703125" customWidth="1" style="2" min="2" max="2"/>
    <col width="44.140625" bestFit="1" customWidth="1" style="7" min="3" max="3"/>
    <col width="18.28515625" bestFit="1" customWidth="1" style="166" min="4" max="4"/>
    <col width="12.7109375" customWidth="1" style="99" min="5" max="5"/>
    <col width="18" customWidth="1" style="99" min="6" max="6"/>
    <col width="24.42578125" customWidth="1" style="7" min="7" max="7"/>
    <col width="26.7109375" bestFit="1" customWidth="1" style="96" min="8" max="8"/>
    <col width="37.140625" bestFit="1" customWidth="1" style="7" min="9" max="9"/>
    <col width="25" bestFit="1" customWidth="1" style="121" min="10" max="10"/>
    <col width="44.85546875" customWidth="1" style="2" min="11" max="11"/>
    <col width="20.7109375" bestFit="1" customWidth="1" style="148" min="12" max="12"/>
    <col width="20.42578125" customWidth="1" style="148" min="13" max="13"/>
    <col width="16.42578125" bestFit="1" customWidth="1" style="148" min="14" max="14"/>
    <col width="16.7109375" bestFit="1" customWidth="1" style="149" min="15" max="15"/>
    <col width="5.42578125" customWidth="1" min="16" max="16"/>
    <col hidden="1" width="11.42578125" customWidth="1" min="17" max="16384"/>
  </cols>
  <sheetData>
    <row r="1" ht="36" customFormat="1" customHeight="1" s="161">
      <c r="A1" s="276" t="inlineStr">
        <is>
          <t>Planilla Control de Eventos Telecomunicaciones S@MI</t>
        </is>
      </c>
    </row>
    <row r="2" ht="36" customFormat="1" customHeight="1" s="162">
      <c r="A2" s="120" t="inlineStr">
        <is>
          <t>Item</t>
        </is>
      </c>
      <c r="B2" s="120" t="inlineStr">
        <is>
          <t>Dispositivo</t>
        </is>
      </c>
      <c r="C2" s="120" t="inlineStr">
        <is>
          <t>Analista</t>
        </is>
      </c>
      <c r="D2" s="120" t="inlineStr">
        <is>
          <t>Numero de Ticket</t>
        </is>
      </c>
      <c r="E2" s="120" t="inlineStr">
        <is>
          <t>Acceso TIGO</t>
        </is>
      </c>
      <c r="F2" s="120" t="inlineStr">
        <is>
          <t>Numero Ticke TIGO UNE</t>
        </is>
      </c>
      <c r="G2" s="120" t="inlineStr">
        <is>
          <t>Descripcion del Evento</t>
        </is>
      </c>
      <c r="H2" s="120" t="inlineStr">
        <is>
          <t xml:space="preserve">Fecha/Hora Inicio Evento </t>
        </is>
      </c>
      <c r="I2" s="120" t="inlineStr">
        <is>
          <t>Causa</t>
        </is>
      </c>
      <c r="J2" s="120" t="inlineStr">
        <is>
          <t>Areas Involucradas</t>
        </is>
      </c>
      <c r="K2" s="120" t="inlineStr">
        <is>
          <t>Solucion</t>
        </is>
      </c>
      <c r="L2" s="120" t="inlineStr">
        <is>
          <t xml:space="preserve">Fecha/Hora Fin Evento </t>
        </is>
      </c>
      <c r="M2" s="120" t="inlineStr">
        <is>
          <t>Tiempo Total</t>
        </is>
      </c>
      <c r="N2" s="120" t="inlineStr">
        <is>
          <t>Tiempo Minutos</t>
        </is>
      </c>
      <c r="O2" s="120" t="inlineStr">
        <is>
          <t>Tiempo en Horas</t>
        </is>
      </c>
    </row>
    <row r="3">
      <c r="A3" s="273" t="n">
        <v>1</v>
      </c>
      <c r="B3" s="142" t="inlineStr">
        <is>
          <t>Sw_CAD_Piso6</t>
        </is>
      </c>
      <c r="C3" s="123" t="inlineStr">
        <is>
          <t>Julián David Cataño Sierra / 06:00 - 14:00</t>
        </is>
      </c>
      <c r="D3" s="139" t="inlineStr">
        <is>
          <t>IM-8776-6-1717</t>
        </is>
      </c>
      <c r="E3" s="18" t="n"/>
      <c r="F3" s="18" t="n"/>
      <c r="G3" s="121" t="n"/>
      <c r="H3" s="154" t="n">
        <v>46205.35416666666</v>
      </c>
      <c r="I3" s="126" t="inlineStr">
        <is>
          <t>Stack bloqueado</t>
        </is>
      </c>
      <c r="J3" s="121" t="inlineStr">
        <is>
          <t>TELECOMUNICACIONES</t>
        </is>
      </c>
      <c r="K3" s="2" t="inlineStr">
        <is>
          <t>Se verifica el estado del sw y se encontró operativo, con problemas de bloqueo en el stack de switche se hacen validaciones sobre los puertos, se encuentran bloqueados y se hace un reinicio físico, se verifican  configuraciones de enrutamiento puertos  troncales  del sw y se restablece el servicio.</t>
        </is>
      </c>
      <c r="L3" s="125" t="n">
        <v>46205.36041666667</v>
      </c>
      <c r="M3" s="127">
        <f>L3-H3</f>
        <v/>
      </c>
      <c r="N3" s="128">
        <f>M3*24*60</f>
        <v/>
      </c>
      <c r="O3" s="128">
        <f>+N3/60</f>
        <v/>
      </c>
    </row>
    <row r="4">
      <c r="A4" s="238" t="n">
        <v>2</v>
      </c>
      <c r="B4" s="131" t="inlineStr">
        <is>
          <t>SDWAN_Mas_Cerca_Poblado</t>
        </is>
      </c>
      <c r="C4" s="123" t="inlineStr">
        <is>
          <t>Andres Matinez Hincapie / 14:00 - 22:00</t>
        </is>
      </c>
      <c r="D4" s="139" t="inlineStr">
        <is>
          <t>IM-9116-6-1740</t>
        </is>
      </c>
      <c r="E4" s="18" t="n"/>
      <c r="F4" s="18" t="n"/>
      <c r="G4" s="121" t="inlineStr">
        <is>
          <t>Desconexion</t>
        </is>
      </c>
      <c r="H4" s="154" t="n">
        <v>46205.57809027778</v>
      </c>
      <c r="I4" s="150" t="inlineStr">
        <is>
          <t>Falla eléctrica</t>
        </is>
      </c>
      <c r="J4" s="121" t="inlineStr">
        <is>
          <t>TELECOMUNICACIONES</t>
        </is>
      </c>
      <c r="K4" s="2" t="inlineStr">
        <is>
          <t xml:space="preserve">Se realiza validación y se identifica que la afectación se presentó debido a una desconexión eléctrica del equipo FortiGate, se efectúa visita a la sede y se reestablece el fluido eléctrico al dispositivo, quedando nuevamente operativo el servicio de conectividad.  </t>
        </is>
      </c>
      <c r="L4" s="125" t="n">
        <v>46206.33646990741</v>
      </c>
      <c r="M4" s="127">
        <f>L4-H4</f>
        <v/>
      </c>
      <c r="N4" s="128">
        <f>M4*24*60</f>
        <v/>
      </c>
      <c r="O4" s="128">
        <f>+N4/60</f>
        <v/>
      </c>
    </row>
    <row r="5">
      <c r="A5" s="273" t="n">
        <v>3</v>
      </c>
      <c r="B5" s="142" t="inlineStr">
        <is>
          <t>Ap_Casa_Justicia_El_Bosque_Piso3_AP3</t>
        </is>
      </c>
      <c r="C5" s="123" t="inlineStr">
        <is>
          <t>Julián David Cataño Sierra / 06:00 - 14:00</t>
        </is>
      </c>
      <c r="D5" s="139" t="inlineStr">
        <is>
          <t>IM-9490-6-1764</t>
        </is>
      </c>
      <c r="E5" s="18" t="n"/>
      <c r="F5" s="18" t="n"/>
      <c r="G5" s="121" t="n"/>
      <c r="H5" s="154" t="n">
        <v>46206.47152777778</v>
      </c>
      <c r="I5" s="126" t="inlineStr">
        <is>
          <t>Falla en puerto troncal</t>
        </is>
      </c>
      <c r="J5" s="121" t="inlineStr">
        <is>
          <t>TELECOMUNICACIONES</t>
        </is>
      </c>
      <c r="K5" s="2" t="inlineStr">
        <is>
          <t>Se realiza validación en sede donde se encuentra AP desconectado del punto de red donde sale el POE, se genera la conexión bien y se restablece el servicio</t>
        </is>
      </c>
      <c r="L5" s="125" t="n">
        <v>46206.73263888889</v>
      </c>
      <c r="M5" s="127">
        <f>L5-H5</f>
        <v/>
      </c>
      <c r="N5" s="128">
        <f>M5*24*60</f>
        <v/>
      </c>
      <c r="O5" s="128">
        <f>+N5/60</f>
        <v/>
      </c>
    </row>
    <row r="6">
      <c r="A6" s="273" t="n">
        <v>4</v>
      </c>
      <c r="B6" s="142" t="inlineStr">
        <is>
          <t>Sw_CAD_Piso6</t>
        </is>
      </c>
      <c r="C6" s="123" t="inlineStr">
        <is>
          <t>Julián David Cataño Sierra / 06:00 - 14:00</t>
        </is>
      </c>
      <c r="D6" s="139" t="inlineStr">
        <is>
          <t>IM-9506-6-1765</t>
        </is>
      </c>
      <c r="E6" s="18" t="n"/>
      <c r="F6" s="18" t="n"/>
      <c r="G6" s="121" t="n"/>
      <c r="H6" s="154" t="n">
        <v>46206.48611111111</v>
      </c>
      <c r="I6" s="150" t="inlineStr">
        <is>
          <t>Falla eléctrica</t>
        </is>
      </c>
      <c r="J6" s="121" t="inlineStr">
        <is>
          <t>TELECOMUNICACIONES</t>
        </is>
      </c>
      <c r="K6" s="2" t="inlineStr">
        <is>
          <t xml:space="preserve">Se realiza validación y se identifica que la afectación se presentó debido a una intermitencia eléctrica que generó bloqueo del stack, se efectúa reinicia de los dispositivos y queda de nuevo operativo el servicio de conectividad.  </t>
        </is>
      </c>
      <c r="L6" s="125" t="n">
        <v>46206.49027777778</v>
      </c>
      <c r="M6" s="127">
        <f>L6-H6</f>
        <v/>
      </c>
      <c r="N6" s="128">
        <f>M6*24*60</f>
        <v/>
      </c>
      <c r="O6" s="128">
        <f>+N6/60</f>
        <v/>
      </c>
    </row>
    <row r="7">
      <c r="A7" s="238" t="n">
        <v>5</v>
      </c>
      <c r="B7" s="131" t="inlineStr">
        <is>
          <t>SDWAN_Casa_Justicia_20_Julio</t>
        </is>
      </c>
      <c r="C7" s="123" t="inlineStr">
        <is>
          <t>Andres Matinez Hincapie / 14:00 - 22:00</t>
        </is>
      </c>
      <c r="D7" s="139" t="inlineStr">
        <is>
          <t>IM-9668-6-1777</t>
        </is>
      </c>
      <c r="E7" s="18" t="n"/>
      <c r="F7" s="18" t="n"/>
      <c r="G7" s="121" t="inlineStr">
        <is>
          <t>Desconexion</t>
        </is>
      </c>
      <c r="H7" s="154" t="n">
        <v>46206.7385300926</v>
      </c>
      <c r="I7" s="150" t="inlineStr">
        <is>
          <t>Falla eléctrica</t>
        </is>
      </c>
      <c r="J7" s="121" t="inlineStr">
        <is>
          <t>TELECOMUNICACIONES</t>
        </is>
      </c>
      <c r="K7" s="2" t="inlineStr">
        <is>
          <t>Se realiza validación y se identifica que la afectación se presentó debido a una falla eléctrica; sin embargo, posterior a superada la falla eléctrica queda de nuevo operativo el servicio de conectividad.</t>
        </is>
      </c>
      <c r="L7" s="125" t="n">
        <v>46209.31565972222</v>
      </c>
      <c r="M7" s="127">
        <f>L7-H7</f>
        <v/>
      </c>
      <c r="N7" s="128">
        <f>M7*24*60</f>
        <v/>
      </c>
      <c r="O7" s="128">
        <f>+N7/60</f>
        <v/>
      </c>
    </row>
    <row r="8">
      <c r="A8" s="238" t="n">
        <v>6</v>
      </c>
      <c r="B8" s="131" t="inlineStr">
        <is>
          <t>Acc_Bomberos_Norte</t>
        </is>
      </c>
      <c r="C8" s="123" t="inlineStr">
        <is>
          <t>Andres Matinez Hincapie / 14:00 - 22:00</t>
        </is>
      </c>
      <c r="D8" s="139" t="inlineStr">
        <is>
          <t>IM-9669-6-1778</t>
        </is>
      </c>
      <c r="E8" s="18" t="n"/>
      <c r="F8" s="18" t="n"/>
      <c r="G8" s="121" t="inlineStr">
        <is>
          <t>Desconexion</t>
        </is>
      </c>
      <c r="H8" s="154" t="n">
        <v>46206.74153935185</v>
      </c>
      <c r="I8" s="150" t="inlineStr">
        <is>
          <t>Falla eléctrica</t>
        </is>
      </c>
      <c r="J8" s="121" t="inlineStr">
        <is>
          <t>TELECOMUNICACIONES</t>
        </is>
      </c>
      <c r="K8" s="2" t="inlineStr">
        <is>
          <t>El origen de la indisponibilidad se presentó debido a una falla eléctrica que ocasionó el bloqueo del dispositivo siendo necesario el reinicio físico en sitio el primer día hábil de la semana.</t>
        </is>
      </c>
      <c r="L8" s="125" t="n">
        <v>46209.31451388889</v>
      </c>
      <c r="M8" s="127">
        <f>L8-H8</f>
        <v/>
      </c>
      <c r="N8" s="128">
        <f>M8*24*60</f>
        <v/>
      </c>
      <c r="O8" s="128">
        <f>+N8/60</f>
        <v/>
      </c>
    </row>
    <row r="9">
      <c r="A9" s="238" t="n">
        <v>7</v>
      </c>
      <c r="B9" s="131" t="inlineStr">
        <is>
          <t>Acc_CSC_Manrique</t>
        </is>
      </c>
      <c r="C9" s="123" t="inlineStr">
        <is>
          <t>Julián David Cataño Sierra / 06:00 - 14:00</t>
        </is>
      </c>
      <c r="D9" s="139" t="inlineStr">
        <is>
          <t>IM-9692-6-1797</t>
        </is>
      </c>
      <c r="E9" s="18" t="n"/>
      <c r="F9" s="18" t="n"/>
      <c r="G9" s="121" t="inlineStr">
        <is>
          <t>Desconexion</t>
        </is>
      </c>
      <c r="H9" s="154" t="n">
        <v>46207.41603009259</v>
      </c>
      <c r="I9" s="150" t="inlineStr">
        <is>
          <t>Falla eléctrica</t>
        </is>
      </c>
      <c r="J9" s="121" t="inlineStr">
        <is>
          <t>TELECOMUNICACIONES</t>
        </is>
      </c>
      <c r="K9" s="2" t="inlineStr">
        <is>
          <t>Se realiza validación y se identifica que la afectación se presentó debido a una falla eléctrica; sin embargo, esta fue momentánea y posterior a superada la falla eléctrica queda de nuevo operativo el servicio de conectividad.</t>
        </is>
      </c>
      <c r="L9" s="125" t="n">
        <v>46207.47857638889</v>
      </c>
      <c r="M9" s="127">
        <f>L9-H9</f>
        <v/>
      </c>
      <c r="N9" s="128">
        <f>M9*24*60</f>
        <v/>
      </c>
      <c r="O9" s="128">
        <f>+N9/60</f>
        <v/>
      </c>
    </row>
    <row r="10">
      <c r="A10" s="273" t="n">
        <v>8</v>
      </c>
      <c r="B10" s="142" t="inlineStr">
        <is>
          <t>Ap_Tubos_Rojos_Piso2_Of201</t>
        </is>
      </c>
      <c r="C10" s="123" t="inlineStr">
        <is>
          <t>Julián David Cataño Sierra / 06:00 - 14:00</t>
        </is>
      </c>
      <c r="D10" s="139" t="inlineStr">
        <is>
          <t>IM-9860-6-1821</t>
        </is>
      </c>
      <c r="E10" s="18" t="n"/>
      <c r="F10" s="18" t="n"/>
      <c r="G10" s="121" t="n"/>
      <c r="H10" s="154" t="n">
        <v>46209.40277777778</v>
      </c>
      <c r="I10" s="150" t="inlineStr">
        <is>
          <t>Falla eléctrica</t>
        </is>
      </c>
      <c r="J10" s="121" t="inlineStr">
        <is>
          <t>TELECOMUNICACIONES</t>
        </is>
      </c>
      <c r="K10" s="2" t="inlineStr">
        <is>
          <t>Se presentó falla eléctrica, al restablecerse el fluido eléctrico sube el servicio</t>
        </is>
      </c>
      <c r="L10" s="125" t="n">
        <v>46209.43263888889</v>
      </c>
      <c r="M10" s="127">
        <f>L10-H10</f>
        <v/>
      </c>
      <c r="N10" s="128">
        <f>M10*24*60</f>
        <v/>
      </c>
      <c r="O10" s="128">
        <f>+N10/60</f>
        <v/>
      </c>
    </row>
    <row r="11">
      <c r="A11" s="273" t="n">
        <v>9</v>
      </c>
      <c r="B11" s="142" t="inlineStr">
        <is>
          <t xml:space="preserve">Sw_Movilidad_Premium_Plaza  </t>
        </is>
      </c>
      <c r="C11" s="123" t="inlineStr">
        <is>
          <t>Carlos Andrés Botero Ríos / 22:00 - 06:00</t>
        </is>
      </c>
      <c r="D11" s="139" t="inlineStr">
        <is>
          <t>IM-10300-6-1859</t>
        </is>
      </c>
      <c r="E11" s="18" t="n"/>
      <c r="F11" s="18" t="n"/>
      <c r="G11" s="121" t="n"/>
      <c r="H11" s="154" t="n">
        <v>46209.84513888889</v>
      </c>
      <c r="I11" s="150" t="inlineStr">
        <is>
          <t>Falla eléctrica</t>
        </is>
      </c>
      <c r="J11" s="121" t="inlineStr">
        <is>
          <t>TELECOMUNICACIONES</t>
        </is>
      </c>
      <c r="K11" s="2" t="inlineStr">
        <is>
          <t>Se realiza validación y se identifica que la afectación se presentó debido a una falla eléctrica; sin embargo, esta fue momentánea y posterior a superada la falla eléctrica queda de nuevo operativo el servicio de conectividad</t>
        </is>
      </c>
      <c r="L11" s="125" t="n">
        <v>46211.28888888889</v>
      </c>
      <c r="M11" s="127">
        <f>L11-H11</f>
        <v/>
      </c>
      <c r="N11" s="128">
        <f>M11*24*60</f>
        <v/>
      </c>
      <c r="O11" s="128">
        <f>+N11/60</f>
        <v/>
      </c>
    </row>
    <row r="12">
      <c r="A12" s="273" t="n">
        <v>10</v>
      </c>
      <c r="B12" s="2" t="inlineStr">
        <is>
          <t>Ap_Inspeccion_7A_Robledo</t>
        </is>
      </c>
      <c r="C12" s="150" t="inlineStr">
        <is>
          <t>Luis Felipe Alvarez Foronda / 06:00 - 14:00</t>
        </is>
      </c>
      <c r="D12" s="139" t="inlineStr">
        <is>
          <t>IM-10344-6-1866</t>
        </is>
      </c>
      <c r="E12" s="18" t="n"/>
      <c r="F12" s="18" t="n"/>
      <c r="G12" s="121" t="n"/>
      <c r="H12" s="154" t="n">
        <v>46210.41666666666</v>
      </c>
      <c r="I12" s="150" t="inlineStr">
        <is>
          <t>AP bloqueado</t>
        </is>
      </c>
      <c r="J12" s="121" t="inlineStr">
        <is>
          <t>TELECOMUNICACIONES</t>
        </is>
      </c>
      <c r="K12" s="2" t="inlineStr">
        <is>
          <t>Se presento desconfiguración del AP luego de reinicio eléctrico, se realiza reseteo físico y reconfiguración y se restablece el servicio, se confirma operatividad</t>
        </is>
      </c>
      <c r="L12" s="125" t="n">
        <v>46210.625</v>
      </c>
      <c r="M12" s="127">
        <f>L12-H12</f>
        <v/>
      </c>
      <c r="N12" s="128">
        <f>M12*24*60</f>
        <v/>
      </c>
      <c r="O12" s="128">
        <f>+N12/60</f>
        <v/>
      </c>
    </row>
    <row r="13">
      <c r="A13" s="273" t="n">
        <v>11</v>
      </c>
      <c r="B13" s="2" t="inlineStr">
        <is>
          <t xml:space="preserve">Sw_Tubos_Rojos_Piso5_Of512      </t>
        </is>
      </c>
      <c r="C13" s="150" t="inlineStr">
        <is>
          <t>Carlos Andrés Botero Ríos / 22:00 - 06:00</t>
        </is>
      </c>
      <c r="D13" s="139" t="inlineStr">
        <is>
          <t>IM-11555-6-2007</t>
        </is>
      </c>
      <c r="E13" s="18" t="n"/>
      <c r="F13" s="18" t="n"/>
      <c r="G13" s="121" t="n"/>
      <c r="H13" s="154" t="n">
        <v>46212.09583333333</v>
      </c>
      <c r="I13" s="150" t="inlineStr">
        <is>
          <t>Falla eléctrica</t>
        </is>
      </c>
      <c r="J13" s="121" t="inlineStr">
        <is>
          <t>TELECOMUNICACIONES</t>
        </is>
      </c>
      <c r="K13" s="2" t="inlineStr">
        <is>
          <t>Se realiza validación y se identifica que la afectación se presentó debido a una falla eléctrica; sin embargo, esta fue momentánea y posterior a superada la falla eléctrica queda de nuevo operativo el servicio de conectividad.</t>
        </is>
      </c>
      <c r="L13" s="125" t="n">
        <v>46212.33333333334</v>
      </c>
      <c r="M13" s="127">
        <f>L13-H13</f>
        <v/>
      </c>
      <c r="N13" s="128">
        <f>M13*24*60</f>
        <v/>
      </c>
      <c r="O13" s="128">
        <f>+N13/60</f>
        <v/>
      </c>
    </row>
    <row r="14">
      <c r="A14" s="273" t="n">
        <v>12</v>
      </c>
      <c r="B14" s="142" t="inlineStr">
        <is>
          <t>Ap_Casa_Gobierno_Santa_Elena</t>
        </is>
      </c>
      <c r="C14" s="123" t="inlineStr">
        <is>
          <t>Carlos Andrés Botero Ríos / 14:00 - 22:00</t>
        </is>
      </c>
      <c r="D14" s="139" t="inlineStr">
        <is>
          <t>IM-12857-6-2141</t>
        </is>
      </c>
      <c r="E14" s="18" t="n"/>
      <c r="F14" s="18" t="n"/>
      <c r="G14" s="121" t="n"/>
      <c r="H14" s="154" t="n">
        <v>46216.52708333333</v>
      </c>
      <c r="I14" s="150" t="inlineStr">
        <is>
          <t>Patch core malo luego de falla eléctrica</t>
        </is>
      </c>
      <c r="J14" s="121" t="inlineStr">
        <is>
          <t>TELECOMUNICACIONES</t>
        </is>
      </c>
      <c r="K14" s="2" t="inlineStr">
        <is>
          <t>Se realiza validación en sede encontrando que los dos patch core que están en el rack estaban malos luego de una falla de energía que se presentó en la sede, por lo que, se realiza cambio de patch core y el servicio se restablece</t>
        </is>
      </c>
      <c r="L14" s="125" t="n">
        <v>46218.76597222222</v>
      </c>
      <c r="M14" s="127">
        <f>L14-H14</f>
        <v/>
      </c>
      <c r="N14" s="128">
        <f>M14*24*60</f>
        <v/>
      </c>
      <c r="O14" s="128">
        <f>+N14/60</f>
        <v/>
      </c>
    </row>
    <row r="15">
      <c r="A15" s="273" t="n">
        <v>13</v>
      </c>
      <c r="B15" s="142" t="inlineStr">
        <is>
          <t xml:space="preserve">Sw_CAD_Piso6  </t>
        </is>
      </c>
      <c r="C15" s="123" t="inlineStr">
        <is>
          <t>Luis Felipe Alvarez Foronda / 06:00 - 14:00</t>
        </is>
      </c>
      <c r="D15" s="139" t="inlineStr">
        <is>
          <t>IM-12928-6-2152</t>
        </is>
      </c>
      <c r="E15" s="18" t="n"/>
      <c r="F15" s="18" t="n"/>
      <c r="G15" s="121" t="n"/>
      <c r="H15" s="154" t="n">
        <v>46217.34444444445</v>
      </c>
      <c r="I15" s="126" t="inlineStr">
        <is>
          <t>Autenticación del puerto</t>
        </is>
      </c>
      <c r="J15" s="121" t="inlineStr">
        <is>
          <t>TELECOMUNICACIONES</t>
        </is>
      </c>
      <c r="K15" s="126" t="inlineStr">
        <is>
          <t>Se realiza validación del stack y se presentó bloqueo debido a un inconveniente de autenticación en el puerto Gi2/0/12, se corrige configuración y el stack queda estable, se ha tenido en monitoreo durante todo el día y no se han presentado nuevos bloqueos</t>
        </is>
      </c>
      <c r="L15" s="125" t="n">
        <v>46217.34930555556</v>
      </c>
      <c r="M15" s="127">
        <f>L15-H15</f>
        <v/>
      </c>
      <c r="N15" s="128">
        <f>M15*24*60</f>
        <v/>
      </c>
      <c r="O15" s="128">
        <f>+N15/60</f>
        <v/>
      </c>
    </row>
    <row r="16">
      <c r="A16" s="238" t="n">
        <v>14</v>
      </c>
      <c r="B16" s="131" t="inlineStr">
        <is>
          <t>SDWAN_Casa_Cultura_Pedregal</t>
        </is>
      </c>
      <c r="C16" s="123" t="inlineStr">
        <is>
          <t>Luis Felipe Alvarez Foronda / 06:00 - 14:00</t>
        </is>
      </c>
      <c r="D16" s="139" t="inlineStr">
        <is>
          <t>IM-13044-6-2163</t>
        </is>
      </c>
      <c r="E16" s="18" t="n"/>
      <c r="F16" s="18" t="n"/>
      <c r="G16" s="121" t="inlineStr">
        <is>
          <t>Desconexion</t>
        </is>
      </c>
      <c r="H16" s="154" t="n">
        <v>46217.40212962963</v>
      </c>
      <c r="I16" s="126" t="inlineStr">
        <is>
          <t>Falla eléctrica</t>
        </is>
      </c>
      <c r="J16" s="121" t="inlineStr">
        <is>
          <t>TELECOMUNICACIONES</t>
        </is>
      </c>
      <c r="K16" s="2" t="inlineStr">
        <is>
          <t>Se presentó falla eléctrica, al restablecerse el fluido eléctrico sube el servicio</t>
        </is>
      </c>
      <c r="L16" s="125" t="n">
        <v>46217.43760416667</v>
      </c>
      <c r="M16" s="127">
        <f>L16-H16</f>
        <v/>
      </c>
      <c r="N16" s="128">
        <f>M16*24*60</f>
        <v/>
      </c>
      <c r="O16" s="128">
        <f>+N16/60</f>
        <v/>
      </c>
    </row>
    <row r="17">
      <c r="A17" s="273" t="n">
        <v>15</v>
      </c>
      <c r="B17" s="142" t="inlineStr">
        <is>
          <t>Ap_Inspeccion_7A_Robledo</t>
        </is>
      </c>
      <c r="C17" s="123" t="inlineStr">
        <is>
          <t>Carlos Andrés Botero Ríos / 14:00 - 22:00</t>
        </is>
      </c>
      <c r="D17" s="139" t="inlineStr">
        <is>
          <t>IM-14087-6-2258</t>
        </is>
      </c>
      <c r="E17" s="18" t="n"/>
      <c r="F17" s="18" t="n"/>
      <c r="G17" s="121" t="n"/>
      <c r="H17" s="154" t="n">
        <v>46218.63611111111</v>
      </c>
      <c r="I17" s="126" t="inlineStr">
        <is>
          <t xml:space="preserve">Corte en el cableado </t>
        </is>
      </c>
      <c r="J17" s="121" t="inlineStr">
        <is>
          <t>TELECOMUNICACIONES</t>
        </is>
      </c>
      <c r="K17" s="2" t="inlineStr">
        <is>
          <t>Se realiza cambio del patch core que va del POE al switch y se restablece el servicio. No se presentó afectación, teníamos era inconvenientes con el ping por lo que, no se tenia respuesta a los aplicativos de monitoreo</t>
        </is>
      </c>
      <c r="L17" s="125" t="n">
        <v>46219.27901620371</v>
      </c>
      <c r="M17" s="127">
        <f>L17-H17</f>
        <v/>
      </c>
      <c r="N17" s="128">
        <f>M17*24*60</f>
        <v/>
      </c>
      <c r="O17" s="128">
        <f>+N17/60</f>
        <v/>
      </c>
    </row>
    <row r="18">
      <c r="A18" s="238" t="n">
        <v>16</v>
      </c>
      <c r="B18" s="131" t="inlineStr">
        <is>
          <t>SDWAN_Casa_Gobierno_Palmitas</t>
        </is>
      </c>
      <c r="C18" s="123" t="inlineStr">
        <is>
          <t>Anderson Garcia Cataño / 14:00 - 22:00</t>
        </is>
      </c>
      <c r="D18" s="139" t="inlineStr">
        <is>
          <t>IM-14633-6-2299</t>
        </is>
      </c>
      <c r="E18" s="18" t="n"/>
      <c r="F18" s="18" t="n"/>
      <c r="G18" s="121" t="inlineStr">
        <is>
          <t>Desconexion</t>
        </is>
      </c>
      <c r="H18" s="154" t="n">
        <v>46219.58034722223</v>
      </c>
      <c r="I18" s="126" t="inlineStr">
        <is>
          <t>Falla eléctrica</t>
        </is>
      </c>
      <c r="J18" s="121" t="inlineStr">
        <is>
          <t>TELECOMUNICACIONES</t>
        </is>
      </c>
      <c r="K18" s="2" t="inlineStr">
        <is>
          <t>Se presentó falla eléctrica, al restablecerse el fluido eléctrico sube el servicio</t>
        </is>
      </c>
      <c r="L18" s="125" t="n">
        <v>46219.64745370371</v>
      </c>
      <c r="M18" s="127">
        <f>L18-H18</f>
        <v/>
      </c>
      <c r="N18" s="128">
        <f>M18*24*60</f>
        <v/>
      </c>
      <c r="O18" s="128">
        <f>+N18/60</f>
        <v/>
      </c>
    </row>
    <row r="19">
      <c r="A19" s="273" t="n">
        <v>17</v>
      </c>
      <c r="B19" s="142" t="inlineStr">
        <is>
          <t>Ap_Casa_Gobierno_Santa_Elena</t>
        </is>
      </c>
      <c r="C19" s="123" t="inlineStr">
        <is>
          <t>Anderson Garcia Cataño / 14:00 - 22:00</t>
        </is>
      </c>
      <c r="D19" s="139" t="inlineStr">
        <is>
          <t>IM-14482-6-2287</t>
        </is>
      </c>
      <c r="E19" s="18" t="n"/>
      <c r="F19" s="18" t="n"/>
      <c r="G19" s="121" t="n"/>
      <c r="H19" s="154" t="n">
        <v>46219.46993055556</v>
      </c>
      <c r="I19" s="126" t="inlineStr">
        <is>
          <t>Falla eléctrica</t>
        </is>
      </c>
      <c r="J19" s="121" t="inlineStr">
        <is>
          <t>TELECOMUNICACIONES</t>
        </is>
      </c>
      <c r="K19" s="2" t="inlineStr">
        <is>
          <t>Se realiza validación y se identifica que la afectación se presentó debido a una desconexión eléctrica; sin embargo, esta fue momentánea y posterior a superada la falla eléctrica queda de nuevo operativo el servicio de conectividad.</t>
        </is>
      </c>
      <c r="L19" s="125" t="n">
        <v>46219.50112268519</v>
      </c>
      <c r="M19" s="127">
        <f>L19-H19</f>
        <v/>
      </c>
      <c r="N19" s="128">
        <f>M19*24*60</f>
        <v/>
      </c>
      <c r="O19" s="128">
        <f>+N19/60</f>
        <v/>
      </c>
    </row>
    <row r="20">
      <c r="A20" s="238" t="n">
        <v>18</v>
      </c>
      <c r="B20" s="131" t="inlineStr">
        <is>
          <t>SDWAN_CIF_Aranjuez</t>
        </is>
      </c>
      <c r="C20" s="123" t="inlineStr">
        <is>
          <t>Anderson Garcia Cataño / 06:00 - 14:00</t>
        </is>
      </c>
      <c r="D20" s="139" t="inlineStr">
        <is>
          <t xml:space="preserve">IM-15005-6-2319 </t>
        </is>
      </c>
      <c r="E20" s="18" t="n"/>
      <c r="F20" s="18" t="n"/>
      <c r="G20" s="121" t="inlineStr">
        <is>
          <t>Desconexion</t>
        </is>
      </c>
      <c r="H20" s="154" t="n">
        <v>46220.37788194444</v>
      </c>
      <c r="I20" s="126" t="inlineStr">
        <is>
          <t>Reinicio dispositivo</t>
        </is>
      </c>
      <c r="J20" s="121" t="inlineStr">
        <is>
          <t>TELECOMUNICACIONES</t>
        </is>
      </c>
      <c r="K20" s="2" t="inlineStr">
        <is>
          <t>El día 17 de julio se evidenció una indisponibilidad en la sede. Durante la revisión, y con el apoyo de los especialistas del área de Telecomunicaciones, se confirmó que el switch LAN presentó un reinicio en el mismo intervalo que el equipo SD-WAN, lo que permite definir que la afectación no correspondió a un único dispositivo, sino a un evento general sobre la infraestructura de la sede. No fue posible determinar si la causa estuvo asociada a una indisponibilidad del anillo de Tigo o si el impacto fue solo para esta sede.</t>
        </is>
      </c>
      <c r="L20" s="125" t="n">
        <v>46220.54459490741</v>
      </c>
      <c r="M20" s="127">
        <f>L20-H20</f>
        <v/>
      </c>
      <c r="N20" s="128">
        <f>M20*24*60</f>
        <v/>
      </c>
      <c r="O20" s="128">
        <f>+N20/60</f>
        <v/>
      </c>
    </row>
    <row r="21">
      <c r="A21" s="273" t="n">
        <v>19</v>
      </c>
      <c r="B21" s="142" t="inlineStr">
        <is>
          <t>Sw_Tubos_Rojos_Piso3_Of306</t>
        </is>
      </c>
      <c r="C21" s="123" t="inlineStr">
        <is>
          <t>Anderson Garcia Cataño / 06:00 - 14:00</t>
        </is>
      </c>
      <c r="D21" s="139" t="inlineStr">
        <is>
          <t xml:space="preserve">IM-15089-6-2323  </t>
        </is>
      </c>
      <c r="E21" s="18" t="n"/>
      <c r="F21" s="18" t="n"/>
      <c r="G21" s="121" t="n"/>
      <c r="H21" s="154" t="n">
        <v>46220.435625</v>
      </c>
      <c r="I21" s="126" t="inlineStr">
        <is>
          <t xml:space="preserve">Suspensión del suministro eléctrico </t>
        </is>
      </c>
      <c r="J21" s="121" t="inlineStr">
        <is>
          <t>TELECOMUNICACIONES</t>
        </is>
      </c>
      <c r="K21" s="126" t="inlineStr">
        <is>
          <t>Se realiza validación con personal en la sede y se confirma que la desconexión del dispositivo es debido a una suspensión del suministro eléctrico efectuada por funcionarios de EPM debido a incumplimientos en facturación.</t>
        </is>
      </c>
      <c r="L21" s="125" t="n"/>
      <c r="M21" s="127">
        <f>L21-H21</f>
        <v/>
      </c>
      <c r="N21" s="128">
        <f>M21*24*60</f>
        <v/>
      </c>
      <c r="O21" s="128">
        <f>+N21/60</f>
        <v/>
      </c>
    </row>
    <row r="22">
      <c r="A22" s="273" t="n">
        <v>20</v>
      </c>
      <c r="B22" s="142" t="inlineStr">
        <is>
          <t xml:space="preserve">Ap_Mas_Cerca_Guayabal </t>
        </is>
      </c>
      <c r="C22" s="123" t="inlineStr">
        <is>
          <t>Andres Matinez Hincapie / 22:00 - 06:00</t>
        </is>
      </c>
      <c r="D22" s="139" t="inlineStr">
        <is>
          <t>IM-15457-6-2348</t>
        </is>
      </c>
      <c r="E22" s="18" t="n"/>
      <c r="F22" s="18" t="n"/>
      <c r="G22" s="121" t="n"/>
      <c r="H22" s="154" t="n">
        <v>46223.05832175926</v>
      </c>
      <c r="I22" s="126" t="inlineStr">
        <is>
          <t>AP bloqueado</t>
        </is>
      </c>
      <c r="J22" s="121" t="inlineStr">
        <is>
          <t>TELECOMUNICACIONES</t>
        </is>
      </c>
      <c r="K22" s="2" t="inlineStr">
        <is>
          <t>Se realiza validación y el AP se encontraba operativo e irradiando las redes y permitiendo las conexiones de manera correcta, sin embargo, luego de la falla eléctrica en la sede se perdió la gestión, por lo que, se realiza validación en sitio y se resetea de fábrica, se reconfigura y se recupera la gestión del dispositivo</t>
        </is>
      </c>
      <c r="L22" s="125" t="n">
        <v>46226.6875</v>
      </c>
      <c r="M22" s="127">
        <f>L22-H22</f>
        <v/>
      </c>
      <c r="N22" s="128">
        <f>M22*24*60</f>
        <v/>
      </c>
      <c r="O22" s="128">
        <f>+N22/60</f>
        <v/>
      </c>
    </row>
    <row r="23">
      <c r="A23" s="273" t="n">
        <v>21</v>
      </c>
      <c r="B23" s="142" t="inlineStr">
        <is>
          <t xml:space="preserve">Sw_Comisaria_de_Permanencia_Sur_1  </t>
        </is>
      </c>
      <c r="C23" s="123" t="inlineStr">
        <is>
          <t>Carlos Andrés Botero Ríos / 06:00 - 14:00</t>
        </is>
      </c>
      <c r="D23" s="139" t="inlineStr">
        <is>
          <t>IM-15461-6-2349</t>
        </is>
      </c>
      <c r="E23" s="18" t="n"/>
      <c r="F23" s="18" t="n"/>
      <c r="G23" s="121" t="n"/>
      <c r="H23" s="154" t="n">
        <v>46223.22916666666</v>
      </c>
      <c r="I23" s="126" t="inlineStr">
        <is>
          <t>Falla eléctrica</t>
        </is>
      </c>
      <c r="J23" s="121" t="inlineStr">
        <is>
          <t>TELECOMUNICACIONES</t>
        </is>
      </c>
      <c r="K23" s="2" t="inlineStr">
        <is>
          <t>Se realiza validación y se identifica que la afectación se presentó debido a una desconexión eléctrica; sin embargo, esta fue momentánea y posterior a superada la falla eléctrica queda de nuevo operativo el servicio de conectividad.</t>
        </is>
      </c>
      <c r="L23" s="125" t="n">
        <v>46223.33125</v>
      </c>
      <c r="M23" s="127">
        <f>L23-H23</f>
        <v/>
      </c>
      <c r="N23" s="128">
        <f>M23*24*60</f>
        <v/>
      </c>
      <c r="O23" s="128">
        <f>+N23/60</f>
        <v/>
      </c>
    </row>
    <row r="24">
      <c r="A24" s="238" t="n">
        <v>22</v>
      </c>
      <c r="B24" s="131" t="inlineStr">
        <is>
          <t>SDWAN_Casa_Gobierno_Santa_Elena</t>
        </is>
      </c>
      <c r="C24" s="123" t="inlineStr">
        <is>
          <t>Carlos Andrés Botero Ríos / 06:00 - 14:00</t>
        </is>
      </c>
      <c r="D24" s="139" t="inlineStr">
        <is>
          <t>IM-15466-6-2350</t>
        </is>
      </c>
      <c r="E24" s="18" t="n"/>
      <c r="F24" s="18" t="n"/>
      <c r="G24" s="121" t="inlineStr">
        <is>
          <t>Desconexion</t>
        </is>
      </c>
      <c r="H24" s="154" t="n">
        <v>46223.3653587963</v>
      </c>
      <c r="I24" s="126" t="inlineStr">
        <is>
          <t>Falla eléctrica</t>
        </is>
      </c>
      <c r="J24" s="121" t="inlineStr">
        <is>
          <t>TELECOMUNICACIONES</t>
        </is>
      </c>
      <c r="K24" s="2" t="inlineStr">
        <is>
          <t>Se realiza validación y se identifica que la afectación se presentó debido a que personal que hace labores de remodelación en la sede, accidentalmente desconectaron la regleta que proporciona el suministro eléctrico al rack donde están los equipos de red, se conecta de nuevo la regleta y se restablece el sumisito eléctrico quedando de nuevo operativo el servicio de conectividad.</t>
        </is>
      </c>
      <c r="L24" s="125" t="n">
        <v>46224.46333333333</v>
      </c>
      <c r="M24" s="127">
        <f>L24-H24</f>
        <v/>
      </c>
      <c r="N24" s="128">
        <f>M24*24*60</f>
        <v/>
      </c>
      <c r="O24" s="128">
        <f>+N24/60</f>
        <v/>
      </c>
    </row>
    <row r="25">
      <c r="A25" s="273" t="n">
        <v>23</v>
      </c>
      <c r="B25" s="142" t="inlineStr">
        <is>
          <t>Ap_CAD_Piso11_AP3</t>
        </is>
      </c>
      <c r="C25" s="123" t="inlineStr">
        <is>
          <t>Julián David Cataño Sierra / 14:00 - 22:00</t>
        </is>
      </c>
      <c r="D25" s="139" t="inlineStr">
        <is>
          <t>IM-15487-6-2351</t>
        </is>
      </c>
      <c r="E25" s="18" t="n"/>
      <c r="F25" s="18" t="n"/>
      <c r="G25" s="121" t="n"/>
      <c r="H25" s="154" t="n">
        <v>46223.6125</v>
      </c>
      <c r="I25" s="126" t="inlineStr">
        <is>
          <t>Falla eléctrica</t>
        </is>
      </c>
      <c r="J25" s="121" t="inlineStr">
        <is>
          <t>TELECOMUNICACIONES</t>
        </is>
      </c>
      <c r="K25" s="2" t="inlineStr">
        <is>
          <t>Se presentó falla eléctrica, al restablecerse el fluido eléctrico sube el servicio</t>
        </is>
      </c>
      <c r="L25" s="125" t="n">
        <v>46224.28819444445</v>
      </c>
      <c r="M25" s="127">
        <f>L25-H25</f>
        <v/>
      </c>
      <c r="N25" s="128">
        <f>M25*24*60</f>
        <v/>
      </c>
      <c r="O25" s="128">
        <f>+N25/60</f>
        <v/>
      </c>
    </row>
    <row r="26">
      <c r="A26" s="273" t="n">
        <v>24</v>
      </c>
      <c r="B26" s="142" t="inlineStr">
        <is>
          <t>Ap_Inspeccion_7A_Robledo</t>
        </is>
      </c>
      <c r="C26" s="123" t="inlineStr">
        <is>
          <t>Julián David Cataño Sierra / 06:00 - 14:00</t>
        </is>
      </c>
      <c r="D26" s="139" t="inlineStr">
        <is>
          <t>IM-14087-6-2258</t>
        </is>
      </c>
      <c r="E26" s="18" t="n"/>
      <c r="F26" s="18" t="n"/>
      <c r="G26" s="121" t="n"/>
      <c r="H26" s="154" t="n">
        <v>46223.58333333334</v>
      </c>
      <c r="I26" s="126" t="inlineStr">
        <is>
          <t>POE Quemado</t>
        </is>
      </c>
      <c r="J26" s="121" t="inlineStr">
        <is>
          <t>TELECOMUNICACIONES</t>
        </is>
      </c>
      <c r="K26" s="2" t="inlineStr">
        <is>
          <t>Se realiza cambio del patch core que va del POE al switch y se restablece el servicio. No se presentó afectación, teníamos era inconvenientes con el ping por lo que, no se tenia respuesta a los aplicativos de monitoreo</t>
        </is>
      </c>
      <c r="L26" s="125" t="n">
        <v>46224.50902777778</v>
      </c>
      <c r="M26" s="127">
        <f>L26-H26</f>
        <v/>
      </c>
      <c r="N26" s="128">
        <f>M26*24*60</f>
        <v/>
      </c>
      <c r="O26" s="128">
        <f>+N26/60</f>
        <v/>
      </c>
    </row>
    <row r="27">
      <c r="A27" s="273" t="n">
        <v>25</v>
      </c>
      <c r="B27" s="142" t="inlineStr">
        <is>
          <t>Ap_CAD_Piso11_AP3</t>
        </is>
      </c>
      <c r="C27" s="123" t="inlineStr">
        <is>
          <t>Julián David Cataño Sierra / 06:00 - 14:00</t>
        </is>
      </c>
      <c r="D27" s="139" t="inlineStr">
        <is>
          <t>IM-15487-6-2351</t>
        </is>
      </c>
      <c r="E27" s="18" t="n"/>
      <c r="F27" s="18" t="n"/>
      <c r="G27" s="121" t="n"/>
      <c r="H27" s="154" t="n">
        <v>46224.12222222222</v>
      </c>
      <c r="I27" s="126" t="inlineStr">
        <is>
          <t>Falla eléctrica</t>
        </is>
      </c>
      <c r="J27" s="121" t="inlineStr">
        <is>
          <t>TELECOMUNICACIONES</t>
        </is>
      </c>
      <c r="K27" s="2" t="inlineStr">
        <is>
          <t>Se presentó falla eléctrica, al restablecerse el fluido eléctrico sube el servicio</t>
        </is>
      </c>
      <c r="L27" s="125" t="n">
        <v>46224.28819444445</v>
      </c>
      <c r="M27" s="127">
        <f>L27-H27</f>
        <v/>
      </c>
      <c r="N27" s="128">
        <f>M27*24*60</f>
        <v/>
      </c>
      <c r="O27" s="128">
        <f>+N27/60</f>
        <v/>
      </c>
    </row>
    <row r="28">
      <c r="A28" s="238" t="n">
        <v>26</v>
      </c>
      <c r="B28" s="131" t="inlineStr">
        <is>
          <t>SDWAN_Inspeccion_12_Santa_Monica</t>
        </is>
      </c>
      <c r="C28" s="123" t="inlineStr">
        <is>
          <t>Carlos Andrés Botero Ríos / 06:00 - 14:00</t>
        </is>
      </c>
      <c r="D28" s="139" t="inlineStr">
        <is>
          <t>IM-16511-6-2448</t>
        </is>
      </c>
      <c r="E28" s="18" t="n"/>
      <c r="F28" s="18" t="n"/>
      <c r="G28" s="121" t="inlineStr">
        <is>
          <t>Desconexion</t>
        </is>
      </c>
      <c r="H28" s="154" t="n">
        <v>46225.37268518518</v>
      </c>
      <c r="I28" s="126" t="inlineStr">
        <is>
          <t>Falla eléctrica</t>
        </is>
      </c>
      <c r="J28" s="121" t="inlineStr">
        <is>
          <t>TELECOMUNICACIONES</t>
        </is>
      </c>
      <c r="K28" s="2" t="inlineStr">
        <is>
          <t>Se contacta al usuario para realizar las validaciones correspondientes. El usuario informa que se presentó una interrupción del servicio eléctrico en la sede. Durante la revisión se evidenció que tanto el equipo SD-WAN como el switch de la LAN perdieron la gestión de manera simultánea y, una vez restablecido el suministro eléctrico, ambos equipos recuperaron su operación al mismo tiempo.
Adicionalmente, se verificó el anillo de Tigo, donde se identificó que otros clientes de la misma zona también resultaron afectados por la contingencia.
Tiempo de indisponibilidad: 54 minutos.</t>
        </is>
      </c>
      <c r="L28" s="125" t="n">
        <v>46225.57131944445</v>
      </c>
      <c r="M28" s="127">
        <f>L28-H28</f>
        <v/>
      </c>
      <c r="N28" s="128">
        <f>M28*24*60</f>
        <v/>
      </c>
      <c r="O28" s="128">
        <f>+N28/60</f>
        <v/>
      </c>
    </row>
    <row r="29">
      <c r="A29" s="238" t="n">
        <v>27</v>
      </c>
      <c r="B29" s="131" t="inlineStr">
        <is>
          <t>SDWAN_Casa_Gobierno_Palmitas</t>
        </is>
      </c>
      <c r="C29" s="123" t="inlineStr">
        <is>
          <t>Carlos Andrés Botero Ríos / 06:00 - 14:00</t>
        </is>
      </c>
      <c r="D29" s="139" t="inlineStr">
        <is>
          <t>IM-16811-6-2478</t>
        </is>
      </c>
      <c r="E29" s="18" t="n"/>
      <c r="F29" s="18" t="n"/>
      <c r="G29" s="121" t="inlineStr">
        <is>
          <t>Desconexion</t>
        </is>
      </c>
      <c r="H29" s="154" t="n">
        <v>46225.48929398148</v>
      </c>
      <c r="I29" s="126" t="inlineStr">
        <is>
          <t>Falla eléctrica</t>
        </is>
      </c>
      <c r="J29" s="121" t="inlineStr">
        <is>
          <t>TELECOMUNICACIONES</t>
        </is>
      </c>
      <c r="K29" s="2" t="inlineStr">
        <is>
          <t>Esta sede se encuentra ubicada en el corregimiento de San Sebastián de Palmitas, una zona que presenta interrupciones frecuentes en el fluido eléctrico. Se realizaron intentos de contacto telefónico con el usuario, sin obtener respuesta.
Debido a esto, el caso se mantuvo en estado de monitoreo desde el día de ayer hasta la fecha, periodo en el cual no se evidenciaron caídas ni degradación en el servicio. Al confirmar la estabilidad del enlace, se procede con el cierre del requerimiento.
Tiempo de indisponibilidad: 3 horas 9 minutos</t>
        </is>
      </c>
      <c r="L29" s="125" t="n">
        <v>46225.74180555555</v>
      </c>
      <c r="M29" s="127">
        <f>L29-H29</f>
        <v/>
      </c>
      <c r="N29" s="128">
        <f>M29*24*60</f>
        <v/>
      </c>
      <c r="O29" s="128">
        <f>+N29/60</f>
        <v/>
      </c>
    </row>
    <row r="30">
      <c r="A30" s="238" t="n">
        <v>28</v>
      </c>
      <c r="B30" s="131" t="inlineStr">
        <is>
          <t>Acc_CSC_La_Ladera</t>
        </is>
      </c>
      <c r="C30" s="123" t="inlineStr">
        <is>
          <t>Julián David Cataño Sierra / 14:00 - 22:00</t>
        </is>
      </c>
      <c r="D30" s="139" t="inlineStr">
        <is>
          <t>IM-17128-6-2506</t>
        </is>
      </c>
      <c r="E30" s="18" t="n"/>
      <c r="F30" s="18" t="n"/>
      <c r="G30" s="121" t="inlineStr">
        <is>
          <t>Desconexion</t>
        </is>
      </c>
      <c r="H30" s="154" t="n">
        <v>46225.72635416667</v>
      </c>
      <c r="I30" s="126" t="inlineStr">
        <is>
          <t>Falla eléctrica</t>
        </is>
      </c>
      <c r="J30" s="121" t="inlineStr">
        <is>
          <t>TELECOMUNICACIONES</t>
        </is>
      </c>
      <c r="K30" s="2" t="inlineStr">
        <is>
          <t>Se realiza validación y se identifica que la afectación se presentó debido a una intermitencia eléctrica; sin embargo, esta fue momentánea y posterior a restablecido el suministro eléctrico queda de nuevo operativo el servicio de conectividad.</t>
        </is>
      </c>
      <c r="L30" s="125" t="n">
        <v>46225.74112268518</v>
      </c>
      <c r="M30" s="127">
        <f>L30-H30</f>
        <v/>
      </c>
      <c r="N30" s="128">
        <f>M30*24*60</f>
        <v/>
      </c>
      <c r="O30" s="128">
        <f>+N30/60</f>
        <v/>
      </c>
    </row>
    <row r="31">
      <c r="A31" s="238" t="n">
        <v>29</v>
      </c>
      <c r="B31" s="131" t="inlineStr">
        <is>
          <t>SDWAN_Inspeccion_12_Santa_Monica</t>
        </is>
      </c>
      <c r="C31" s="123" t="inlineStr">
        <is>
          <t>Luis Felipe Alvarez Foronda / 06:00 - 14:00</t>
        </is>
      </c>
      <c r="D31" s="139" t="inlineStr">
        <is>
          <t>IM-17639-6-2559</t>
        </is>
      </c>
      <c r="E31" s="18" t="n"/>
      <c r="F31" s="18" t="n"/>
      <c r="G31" s="121" t="inlineStr">
        <is>
          <t>Desconexion</t>
        </is>
      </c>
      <c r="H31" s="154" t="n">
        <v>46226.52372685185</v>
      </c>
      <c r="I31" s="126" t="inlineStr">
        <is>
          <t>Falla eléctrica</t>
        </is>
      </c>
      <c r="J31" s="121" t="inlineStr">
        <is>
          <t>TELECOMUNICACIONES</t>
        </is>
      </c>
      <c r="K31" s="2" t="inlineStr">
        <is>
          <t>Se presentó falla eléctrica, al restablecerse el fluido eléctrico sube el servicio</t>
        </is>
      </c>
      <c r="L31" s="125" t="n">
        <v>46226.60293981482</v>
      </c>
      <c r="M31" s="127">
        <f>L31-H31</f>
        <v/>
      </c>
      <c r="N31" s="128">
        <f>M31*24*60</f>
        <v/>
      </c>
      <c r="O31" s="128">
        <f>+N31/60</f>
        <v/>
      </c>
    </row>
    <row r="32">
      <c r="A32" s="238" t="n">
        <v>30</v>
      </c>
      <c r="B32" s="131" t="inlineStr">
        <is>
          <t>Acc_Bomberos_Norte</t>
        </is>
      </c>
      <c r="C32" s="123" t="inlineStr">
        <is>
          <t>Julián David Cataño Sierra / 06:00 - 14:00</t>
        </is>
      </c>
      <c r="D32" s="139" t="inlineStr">
        <is>
          <t>IM-18570-6-2631</t>
        </is>
      </c>
      <c r="E32" s="18" t="n"/>
      <c r="F32" s="18" t="n"/>
      <c r="G32" s="121" t="inlineStr">
        <is>
          <t>Desconexion</t>
        </is>
      </c>
      <c r="H32" s="154" t="n">
        <v>46228.44582175926</v>
      </c>
      <c r="I32" s="126" t="inlineStr">
        <is>
          <t>Falla eléctrica</t>
        </is>
      </c>
      <c r="J32" s="121" t="inlineStr">
        <is>
          <t>TELECOMUNICACIONES</t>
        </is>
      </c>
      <c r="K32" s="2" t="inlineStr">
        <is>
          <t>Se realiza validación y se identifica que la afectación se presentó debido a una falla eléctrica en la regleta donde se conectan los equipos, se realiza conexión de los equipos a otro tomacorriente y se restablece el servicio de conectividad.</t>
        </is>
      </c>
      <c r="L32" s="125" t="n">
        <v>46231.57920138889</v>
      </c>
      <c r="M32" s="127">
        <f>L32-H32</f>
        <v/>
      </c>
      <c r="N32" s="128">
        <f>M32*24*60</f>
        <v/>
      </c>
      <c r="O32" s="128">
        <f>+N32/60</f>
        <v/>
      </c>
    </row>
    <row r="33">
      <c r="A33" s="273" t="n">
        <v>31</v>
      </c>
      <c r="B33" s="150" t="inlineStr">
        <is>
          <t>Ap_Bomberos_Norte</t>
        </is>
      </c>
      <c r="C33" s="123" t="inlineStr">
        <is>
          <t>Julián David Cataño Sierra / 06:00 - 14:00</t>
        </is>
      </c>
      <c r="D33" s="139" t="inlineStr">
        <is>
          <t>IM-20489-6-2787</t>
        </is>
      </c>
      <c r="E33" s="18" t="n"/>
      <c r="F33" s="18" t="n"/>
      <c r="G33" s="121" t="inlineStr">
        <is>
          <t>Desconexion</t>
        </is>
      </c>
      <c r="H33" s="154" t="n">
        <v>46232.34305555555</v>
      </c>
      <c r="I33" s="126" t="inlineStr">
        <is>
          <t>Falla eléctrica</t>
        </is>
      </c>
      <c r="J33" s="121" t="inlineStr">
        <is>
          <t>TELECOMUNICACIONES</t>
        </is>
      </c>
      <c r="K33" s="2" t="inlineStr">
        <is>
          <t>Se realiza visita a la sede donde se hacen descartes de los patch core en el rack, luego de esto se baja el AP y se prueba en el rack donde enciende de manera correcta, se cambia el patch core que esta en el punto de red y queda sin conexión, por lo que, se evidencia falla en el punto de red. Se deja AP conectado en el rack con un cable largo logrando que este quede en una oficina aledaña mientras se soluciona el inconveniente con el punto de red. Se deja servicio operativo</t>
        </is>
      </c>
      <c r="L33" s="125" t="n">
        <v>46232.63807870371</v>
      </c>
      <c r="M33" s="127">
        <f>L33-H33</f>
        <v/>
      </c>
      <c r="N33" s="128">
        <f>M33*24*60</f>
        <v/>
      </c>
      <c r="O33" s="128">
        <f>+N33/60</f>
        <v/>
      </c>
    </row>
    <row r="34">
      <c r="A34" s="238" t="n">
        <v>32</v>
      </c>
      <c r="B34" s="131" t="inlineStr">
        <is>
          <t>SDWAN_Casa_Cultura_Manrique</t>
        </is>
      </c>
      <c r="C34" s="123" t="inlineStr">
        <is>
          <t>Julián David Cataño Sierra / 06:00 - 14:00</t>
        </is>
      </c>
      <c r="D34" s="139" t="inlineStr">
        <is>
          <t>IM-20816-6-2817</t>
        </is>
      </c>
      <c r="E34" s="18" t="n"/>
      <c r="F34" s="18" t="n"/>
      <c r="G34" s="121" t="inlineStr">
        <is>
          <t>Desconexion</t>
        </is>
      </c>
      <c r="H34" s="154" t="n">
        <v>46232.56947916667</v>
      </c>
      <c r="I34" s="126" t="inlineStr">
        <is>
          <t>Falla eléctrica</t>
        </is>
      </c>
      <c r="J34" s="121" t="inlineStr">
        <is>
          <t>TELECOMUNICACIONES</t>
        </is>
      </c>
      <c r="K34" s="2" t="inlineStr">
        <is>
          <t>Tras analizar el comportamiento del servicio, se identificaron interrupciones en el fluido eléctrico. Al realizar la validación telefónica con el personal de la sede, confirmaron que el sector venía presentando fallas en la estabilidad de la energía.
Debido a esto, el enlace se mantuvo bajo monitoreo continuo desde el día de ayer, 29 de julio. Al verificar que el servicio no ha registrado nuevas degradaciones o caídas durante el día de hoy, se procede con el cierre del caso.
Tiempo de indisponibilidad: 2 horas 24 minutos</t>
        </is>
      </c>
      <c r="L34" s="125" t="n">
        <v>46232.71575231481</v>
      </c>
      <c r="M34" s="127">
        <f>L34-H34</f>
        <v/>
      </c>
      <c r="N34" s="128">
        <f>M34*24*60</f>
        <v/>
      </c>
      <c r="O34" s="128">
        <f>+N34/60</f>
        <v/>
      </c>
    </row>
    <row r="35">
      <c r="A35" s="273" t="n">
        <v>33</v>
      </c>
      <c r="B35" s="150" t="inlineStr">
        <is>
          <t>Ap_CAD_Piso7_AP1</t>
        </is>
      </c>
      <c r="C35" s="123" t="inlineStr">
        <is>
          <t>Julián David Cataño Sierra / 06:00 - 14:00</t>
        </is>
      </c>
      <c r="D35" s="139" t="inlineStr">
        <is>
          <t>IM-21177-6-2847</t>
        </is>
      </c>
      <c r="E35" s="18" t="n"/>
      <c r="F35" s="18" t="n"/>
      <c r="G35" s="121" t="inlineStr">
        <is>
          <t>Desconexion</t>
        </is>
      </c>
      <c r="H35" s="154" t="n">
        <v>46233.33611111111</v>
      </c>
      <c r="I35" s="126" t="inlineStr">
        <is>
          <t>Falla eléctrica</t>
        </is>
      </c>
      <c r="J35" s="121" t="inlineStr">
        <is>
          <t>TELECOMUNICACIONES</t>
        </is>
      </c>
      <c r="K35" s="2" t="inlineStr">
        <is>
          <t>Se realiza reseteo de fabrica el AP por solicitud del proveedor para hacer cambio del Firmware, se configura nuevamente y se deja servicio operativo</t>
        </is>
      </c>
      <c r="L35" s="125" t="n">
        <v>46233.34583333333</v>
      </c>
      <c r="M35" s="127">
        <f>L35-H35</f>
        <v/>
      </c>
      <c r="N35" s="128">
        <f>M35*24*60</f>
        <v/>
      </c>
      <c r="O35" s="128">
        <f>+N35/60</f>
        <v/>
      </c>
    </row>
    <row r="36">
      <c r="A36" s="238" t="n">
        <v>34</v>
      </c>
      <c r="B36" s="131" t="inlineStr">
        <is>
          <t>SDWAN_Planta_Reciclaje</t>
        </is>
      </c>
      <c r="C36" s="123" t="inlineStr">
        <is>
          <t>Julián David Cataño Sierra / 06:00 - 14:00</t>
        </is>
      </c>
      <c r="D36" s="139" t="inlineStr">
        <is>
          <t>IM-21282-6-2861</t>
        </is>
      </c>
      <c r="E36" s="18" t="n"/>
      <c r="F36" s="18" t="n"/>
      <c r="G36" s="121" t="inlineStr">
        <is>
          <t>Desconexion</t>
        </is>
      </c>
      <c r="H36" s="154" t="n">
        <v>46233.39506944444</v>
      </c>
      <c r="I36" s="123" t="inlineStr">
        <is>
          <t>Instalacion Segundo Canal</t>
        </is>
      </c>
      <c r="J36" s="121" t="inlineStr">
        <is>
          <t>TELECOMUNICACIONES</t>
        </is>
      </c>
      <c r="K36" s="2" t="inlineStr">
        <is>
          <t>Se realiza validación y se identifica que la afectación se presentó debido a una intervención de Tigo en el rack por la instalación del segundo canal, en la actividad dejaron los enlaces desconectados. Se hacen reconexiones y el servicio queda operando de momento solo por el canal banda ancha.
Se reportó a Carlos Rivera por via telefonica el evento presetado debido a la instalación del segundo canal.</t>
        </is>
      </c>
      <c r="L36" s="125" t="n">
        <v>46234.99930555555</v>
      </c>
      <c r="M36" s="127">
        <f>L36-H36</f>
        <v/>
      </c>
      <c r="N36" s="128">
        <f>M36*24*60</f>
        <v/>
      </c>
      <c r="O36" s="128">
        <f>+N36/60</f>
        <v/>
      </c>
    </row>
    <row r="37">
      <c r="A37" s="273" t="n">
        <v>35</v>
      </c>
      <c r="B37" s="150" t="inlineStr">
        <is>
          <t>Sw_Diagnostico_y_Derivacion_TorreB_1</t>
        </is>
      </c>
      <c r="C37" s="123" t="inlineStr">
        <is>
          <t>Julián David Cataño Sierra / 06:00 - 14:00</t>
        </is>
      </c>
      <c r="D37" s="139" t="inlineStr">
        <is>
          <t>IM-21436-6-2872</t>
        </is>
      </c>
      <c r="E37" s="18" t="n"/>
      <c r="F37" s="18" t="n"/>
      <c r="G37" s="121" t="inlineStr">
        <is>
          <t>Desconexion</t>
        </is>
      </c>
      <c r="H37" s="154" t="n">
        <v>46233.46875</v>
      </c>
      <c r="I37" s="126" t="inlineStr">
        <is>
          <t>Falla eléctrica</t>
        </is>
      </c>
      <c r="J37" s="121" t="inlineStr">
        <is>
          <t>TELECOMUNICACIONES</t>
        </is>
      </c>
      <c r="K37" s="2" t="inlineStr">
        <is>
          <t>Se realiza validación y se identifica que la afectación se presentó debido a una intermitencia eléctrica; sin embargo, esta fue temporal y posterior a restablecido el suministro eléctrico queda de nuevo operativo el servicio de conectividad.</t>
        </is>
      </c>
      <c r="L37" s="125" t="n">
        <v>46233.68324074074</v>
      </c>
      <c r="M37" s="127">
        <f>L37-H37</f>
        <v/>
      </c>
      <c r="N37" s="128">
        <f>M37*24*60</f>
        <v/>
      </c>
      <c r="O37" s="128">
        <f>+N37/60</f>
        <v/>
      </c>
    </row>
    <row r="38">
      <c r="A38" s="238" t="n">
        <v>36</v>
      </c>
      <c r="B38" s="150" t="n"/>
      <c r="C38" s="123" t="n"/>
      <c r="D38" s="139" t="n"/>
      <c r="E38" s="18" t="n"/>
      <c r="F38" s="18" t="n"/>
      <c r="G38" s="121" t="n"/>
      <c r="H38" s="154" t="n"/>
      <c r="I38" s="150" t="n"/>
      <c r="L38" s="125" t="n"/>
      <c r="M38" s="127">
        <f>L38-H38</f>
        <v/>
      </c>
      <c r="N38" s="128">
        <f>M38*24*60</f>
        <v/>
      </c>
      <c r="O38" s="128">
        <f>+N38/60</f>
        <v/>
      </c>
    </row>
    <row r="39">
      <c r="A39" s="238" t="n">
        <v>37</v>
      </c>
      <c r="B39" s="150" t="n"/>
      <c r="C39" s="123" t="n"/>
      <c r="D39" s="139" t="n"/>
      <c r="E39" s="18" t="n"/>
      <c r="F39" s="18" t="n"/>
      <c r="G39" s="121" t="n"/>
      <c r="H39" s="154" t="n"/>
      <c r="I39" s="150" t="n"/>
      <c r="L39" s="125" t="n"/>
      <c r="M39" s="127">
        <f>L39-H39</f>
        <v/>
      </c>
      <c r="N39" s="128">
        <f>M39*24*60</f>
        <v/>
      </c>
      <c r="O39" s="128">
        <f>+N39/60</f>
        <v/>
      </c>
    </row>
    <row r="40">
      <c r="A40" s="238" t="n">
        <v>38</v>
      </c>
      <c r="B40" s="150" t="n"/>
      <c r="C40" s="123" t="n"/>
      <c r="D40" s="139" t="n"/>
      <c r="E40" s="18" t="n"/>
      <c r="F40" s="18" t="n"/>
      <c r="G40" s="121" t="n"/>
      <c r="H40" s="154" t="n"/>
      <c r="I40" s="150" t="n"/>
      <c r="L40" s="125" t="n"/>
      <c r="M40" s="127">
        <f>L40-H40</f>
        <v/>
      </c>
      <c r="N40" s="128">
        <f>M40*24*60</f>
        <v/>
      </c>
      <c r="O40" s="128">
        <f>+N40/60</f>
        <v/>
      </c>
    </row>
    <row r="41">
      <c r="A41" s="238" t="n">
        <v>39</v>
      </c>
      <c r="B41" s="150" t="n"/>
      <c r="C41" s="123" t="n"/>
      <c r="D41" s="139" t="n"/>
      <c r="E41" s="18" t="n"/>
      <c r="F41" s="18" t="n"/>
      <c r="G41" s="121" t="n"/>
      <c r="H41" s="154" t="n"/>
      <c r="I41" s="150" t="n"/>
      <c r="L41" s="125" t="n"/>
      <c r="M41" s="127">
        <f>L41-H41</f>
        <v/>
      </c>
      <c r="N41" s="128">
        <f>M41*24*60</f>
        <v/>
      </c>
      <c r="O41" s="128">
        <f>+N41/60</f>
        <v/>
      </c>
    </row>
    <row r="42">
      <c r="A42" s="238" t="n">
        <v>40</v>
      </c>
      <c r="B42" s="150" t="n"/>
      <c r="C42" s="123" t="n"/>
      <c r="D42" s="139" t="n"/>
      <c r="E42" s="18" t="n"/>
      <c r="F42" s="18" t="n"/>
      <c r="G42" s="121" t="n"/>
      <c r="H42" s="154" t="n"/>
      <c r="I42" s="150" t="n"/>
      <c r="L42" s="125" t="n"/>
      <c r="M42" s="127">
        <f>L42-H42</f>
        <v/>
      </c>
      <c r="N42" s="128">
        <f>M42*24*60</f>
        <v/>
      </c>
      <c r="O42" s="128">
        <f>+N42/60</f>
        <v/>
      </c>
    </row>
    <row r="43">
      <c r="A43" s="238" t="n">
        <v>41</v>
      </c>
      <c r="B43" s="150" t="n"/>
      <c r="C43" s="123" t="n"/>
      <c r="D43" s="139" t="n"/>
      <c r="E43" s="18" t="n"/>
      <c r="F43" s="18" t="n"/>
      <c r="G43" s="121" t="n"/>
      <c r="H43" s="154" t="n"/>
      <c r="I43" s="150" t="n"/>
      <c r="L43" s="125" t="n"/>
      <c r="M43" s="127">
        <f>L43-H43</f>
        <v/>
      </c>
      <c r="N43" s="128">
        <f>M43*24*60</f>
        <v/>
      </c>
      <c r="O43" s="128">
        <f>+N43/60</f>
        <v/>
      </c>
    </row>
    <row r="44">
      <c r="A44" s="238" t="n">
        <v>42</v>
      </c>
      <c r="B44" s="150" t="n"/>
      <c r="C44" s="123" t="n"/>
      <c r="D44" s="139" t="n"/>
      <c r="E44" s="18" t="n"/>
      <c r="F44" s="18" t="n"/>
      <c r="G44" s="121" t="n"/>
      <c r="H44" s="154" t="n"/>
      <c r="I44" s="150" t="n"/>
      <c r="L44" s="125" t="n"/>
      <c r="M44" s="127">
        <f>L44-H44</f>
        <v/>
      </c>
      <c r="N44" s="128">
        <f>M44*24*60</f>
        <v/>
      </c>
      <c r="O44" s="128">
        <f>+N44/60</f>
        <v/>
      </c>
    </row>
    <row r="45">
      <c r="A45" s="238" t="n">
        <v>43</v>
      </c>
      <c r="B45" s="150" t="n"/>
      <c r="C45" s="123" t="n"/>
      <c r="D45" s="139" t="n"/>
      <c r="E45" s="18" t="n"/>
      <c r="F45" s="18" t="n"/>
      <c r="G45" s="121" t="n"/>
      <c r="H45" s="154" t="n"/>
      <c r="I45" s="150" t="n"/>
      <c r="L45" s="125" t="n"/>
      <c r="M45" s="127">
        <f>L45-H45</f>
        <v/>
      </c>
      <c r="N45" s="128">
        <f>M45*24*60</f>
        <v/>
      </c>
      <c r="O45" s="128">
        <f>+N45/60</f>
        <v/>
      </c>
    </row>
    <row r="46">
      <c r="A46" s="238" t="n">
        <v>44</v>
      </c>
      <c r="B46" s="150" t="n"/>
      <c r="C46" s="123" t="n"/>
      <c r="D46" s="139" t="n"/>
      <c r="E46" s="18" t="n"/>
      <c r="F46" s="18" t="n"/>
      <c r="G46" s="121" t="n"/>
      <c r="H46" s="154" t="n"/>
      <c r="I46" s="150" t="n"/>
      <c r="L46" s="125" t="n"/>
      <c r="M46" s="127">
        <f>L46-H46</f>
        <v/>
      </c>
      <c r="N46" s="128">
        <f>M46*24*60</f>
        <v/>
      </c>
      <c r="O46" s="128">
        <f>+N46/60</f>
        <v/>
      </c>
    </row>
    <row r="47">
      <c r="A47" s="238" t="n">
        <v>45</v>
      </c>
      <c r="B47" s="150" t="n"/>
      <c r="C47" s="123" t="n"/>
      <c r="D47" s="139" t="n"/>
      <c r="E47" s="18" t="n"/>
      <c r="F47" s="18" t="n"/>
      <c r="G47" s="121" t="n"/>
      <c r="H47" s="154" t="n"/>
      <c r="I47" s="150" t="n"/>
      <c r="L47" s="125" t="n"/>
      <c r="M47" s="127">
        <f>L47-H47</f>
        <v/>
      </c>
      <c r="N47" s="128">
        <f>M47*24*60</f>
        <v/>
      </c>
      <c r="O47" s="128">
        <f>+N47/60</f>
        <v/>
      </c>
    </row>
    <row r="48">
      <c r="A48" s="238" t="n">
        <v>46</v>
      </c>
      <c r="B48" s="150" t="n"/>
      <c r="C48" s="123" t="n"/>
      <c r="D48" s="139" t="n"/>
      <c r="E48" s="18" t="n"/>
      <c r="F48" s="18" t="n"/>
      <c r="G48" s="121" t="n"/>
      <c r="H48" s="154" t="n"/>
      <c r="I48" s="150" t="n"/>
      <c r="L48" s="125" t="n"/>
      <c r="M48" s="127">
        <f>L48-H48</f>
        <v/>
      </c>
      <c r="N48" s="128">
        <f>M48*24*60</f>
        <v/>
      </c>
      <c r="O48" s="128">
        <f>+N48/60</f>
        <v/>
      </c>
    </row>
    <row r="49">
      <c r="A49" s="238" t="n">
        <v>47</v>
      </c>
      <c r="B49" s="150" t="n"/>
      <c r="C49" s="123" t="n"/>
      <c r="D49" s="139" t="n"/>
      <c r="E49" s="18" t="n"/>
      <c r="F49" s="18" t="n"/>
      <c r="G49" s="121" t="n"/>
      <c r="H49" s="154" t="n"/>
      <c r="I49" s="150" t="n"/>
      <c r="L49" s="125" t="n"/>
      <c r="M49" s="127">
        <f>L49-H49</f>
        <v/>
      </c>
      <c r="N49" s="128">
        <f>M49*24*60</f>
        <v/>
      </c>
      <c r="O49" s="128">
        <f>+N49/60</f>
        <v/>
      </c>
    </row>
    <row r="50">
      <c r="A50" s="238" t="n">
        <v>48</v>
      </c>
      <c r="B50" s="150" t="n"/>
      <c r="C50" s="123" t="n"/>
      <c r="D50" s="139" t="n"/>
      <c r="E50" s="18" t="n"/>
      <c r="F50" s="18" t="n"/>
      <c r="G50" s="121" t="n"/>
      <c r="H50" s="154" t="n"/>
      <c r="I50" s="150" t="n"/>
      <c r="L50" s="125" t="n"/>
      <c r="M50" s="127">
        <f>L50-H50</f>
        <v/>
      </c>
      <c r="N50" s="128">
        <f>M50*24*60</f>
        <v/>
      </c>
      <c r="O50" s="128">
        <f>+N50/60</f>
        <v/>
      </c>
    </row>
    <row r="51">
      <c r="A51" s="238" t="n">
        <v>49</v>
      </c>
      <c r="B51" s="150" t="n"/>
      <c r="C51" s="123" t="n"/>
      <c r="D51" s="139" t="n"/>
      <c r="E51" s="18" t="n"/>
      <c r="F51" s="18" t="n"/>
      <c r="G51" s="121" t="n"/>
      <c r="H51" s="154" t="n"/>
      <c r="I51" s="150" t="n"/>
      <c r="L51" s="125" t="n"/>
      <c r="M51" s="127">
        <f>L51-H51</f>
        <v/>
      </c>
      <c r="N51" s="128">
        <f>M51*24*60</f>
        <v/>
      </c>
      <c r="O51" s="128">
        <f>+N51/60</f>
        <v/>
      </c>
    </row>
    <row r="52">
      <c r="A52" s="238" t="n">
        <v>50</v>
      </c>
      <c r="B52" s="150" t="n"/>
      <c r="C52" s="123" t="n"/>
      <c r="D52" s="139" t="n"/>
      <c r="E52" s="18" t="n"/>
      <c r="F52" s="18" t="n"/>
      <c r="G52" s="121" t="n"/>
      <c r="H52" s="154" t="n"/>
      <c r="I52" s="150" t="n"/>
      <c r="L52" s="125" t="n"/>
      <c r="M52" s="127">
        <f>L52-H52</f>
        <v/>
      </c>
      <c r="N52" s="128">
        <f>M52*24*60</f>
        <v/>
      </c>
      <c r="O52" s="128">
        <f>+N52/60</f>
        <v/>
      </c>
    </row>
    <row r="53">
      <c r="A53" s="238" t="n">
        <v>51</v>
      </c>
      <c r="B53" s="150" t="n"/>
      <c r="C53" s="123" t="n"/>
      <c r="D53" s="139" t="n"/>
      <c r="E53" s="18" t="n"/>
      <c r="F53" s="18" t="n"/>
      <c r="G53" s="121" t="n"/>
      <c r="H53" s="154" t="n"/>
      <c r="I53" s="150" t="n"/>
      <c r="L53" s="125" t="n"/>
      <c r="M53" s="127">
        <f>L53-H53</f>
        <v/>
      </c>
      <c r="N53" s="128">
        <f>M53*24*60</f>
        <v/>
      </c>
      <c r="O53" s="128">
        <f>+N53/60</f>
        <v/>
      </c>
    </row>
    <row r="54">
      <c r="A54" s="238" t="n">
        <v>52</v>
      </c>
      <c r="B54" s="150" t="n"/>
      <c r="C54" s="123" t="n"/>
      <c r="D54" s="139" t="n"/>
      <c r="E54" s="18" t="n"/>
      <c r="F54" s="18" t="n"/>
      <c r="G54" s="121" t="n"/>
      <c r="H54" s="154" t="n"/>
      <c r="I54" s="150" t="n"/>
      <c r="L54" s="125" t="n"/>
      <c r="M54" s="127">
        <f>L54-H54</f>
        <v/>
      </c>
      <c r="N54" s="128">
        <f>M54*24*60</f>
        <v/>
      </c>
      <c r="O54" s="128">
        <f>+N54/60</f>
        <v/>
      </c>
    </row>
    <row r="55">
      <c r="A55" s="238" t="n">
        <v>53</v>
      </c>
      <c r="B55" s="150" t="n"/>
      <c r="C55" s="123" t="n"/>
      <c r="D55" s="139" t="n"/>
      <c r="E55" s="18" t="n"/>
      <c r="F55" s="18" t="n"/>
      <c r="G55" s="121" t="n"/>
      <c r="H55" s="154" t="n"/>
      <c r="I55" s="150" t="n"/>
      <c r="L55" s="125" t="n"/>
      <c r="M55" s="127">
        <f>[1]Telecomunicaciones!L8-[1]Telecomunicaciones!H8</f>
        <v/>
      </c>
      <c r="N55" s="128">
        <f>M55*24*60</f>
        <v/>
      </c>
      <c r="O55" s="128">
        <f>+N55/60</f>
        <v/>
      </c>
    </row>
    <row r="56">
      <c r="A56" s="238" t="n">
        <v>54</v>
      </c>
      <c r="B56" s="150" t="n"/>
      <c r="C56" s="123" t="n"/>
      <c r="D56" s="139" t="n"/>
      <c r="E56" s="18" t="n"/>
      <c r="F56" s="18" t="n"/>
      <c r="G56" s="121" t="n"/>
      <c r="H56" s="154" t="n"/>
      <c r="I56" s="150" t="n"/>
      <c r="L56" s="125" t="n"/>
      <c r="M56" s="127">
        <f>[1]Telecomunicaciones!L9-[1]Telecomunicaciones!H9</f>
        <v/>
      </c>
      <c r="N56" s="128">
        <f>M56*24*60</f>
        <v/>
      </c>
      <c r="O56" s="128">
        <f>+N56/60</f>
        <v/>
      </c>
    </row>
    <row r="57">
      <c r="A57" s="238" t="n">
        <v>55</v>
      </c>
      <c r="B57" s="150" t="n"/>
      <c r="C57" s="123" t="n"/>
      <c r="D57" s="139" t="n"/>
      <c r="E57" s="18" t="n"/>
      <c r="F57" s="18" t="n"/>
      <c r="G57" s="121" t="n"/>
      <c r="H57" s="154" t="n"/>
      <c r="I57" s="150" t="n"/>
      <c r="L57" s="125" t="n"/>
      <c r="M57" s="127">
        <f>L57-H57</f>
        <v/>
      </c>
      <c r="N57" s="128">
        <f>M57*24*60</f>
        <v/>
      </c>
      <c r="O57" s="128">
        <f>+N57/60</f>
        <v/>
      </c>
    </row>
    <row r="58">
      <c r="A58" s="238" t="n">
        <v>56</v>
      </c>
      <c r="B58" s="150" t="n"/>
      <c r="C58" s="123" t="n"/>
      <c r="D58" s="139" t="n"/>
      <c r="E58" s="18" t="n"/>
      <c r="F58" s="18" t="n"/>
      <c r="G58" s="121" t="n"/>
      <c r="H58" s="154" t="n"/>
      <c r="I58" s="150" t="n"/>
      <c r="L58" s="125" t="n"/>
      <c r="M58" s="127">
        <f>L58-H58</f>
        <v/>
      </c>
      <c r="N58" s="128">
        <f>M58*24*60</f>
        <v/>
      </c>
      <c r="O58" s="128">
        <f>+N58/60</f>
        <v/>
      </c>
    </row>
    <row r="59">
      <c r="A59" s="238" t="n">
        <v>57</v>
      </c>
      <c r="B59" s="150" t="n"/>
      <c r="C59" s="123" t="n"/>
      <c r="D59" s="139" t="n"/>
      <c r="E59" s="18" t="n"/>
      <c r="F59" s="18" t="n"/>
      <c r="G59" s="121" t="n"/>
      <c r="H59" s="154" t="n"/>
      <c r="I59" s="150" t="n"/>
      <c r="L59" s="125" t="n"/>
      <c r="M59" s="127">
        <f>L59-H59</f>
        <v/>
      </c>
      <c r="N59" s="128">
        <f>M59*24*60</f>
        <v/>
      </c>
      <c r="O59" s="128">
        <f>+N59/60</f>
        <v/>
      </c>
    </row>
    <row r="60">
      <c r="A60" s="238" t="n">
        <v>58</v>
      </c>
      <c r="B60" s="150" t="n"/>
      <c r="C60" s="123" t="n"/>
      <c r="D60" s="139" t="n"/>
      <c r="E60" s="18" t="n"/>
      <c r="F60" s="18" t="n"/>
      <c r="G60" s="121" t="n"/>
      <c r="H60" s="154" t="n"/>
      <c r="I60" s="150" t="n"/>
      <c r="L60" s="125" t="n"/>
      <c r="M60" s="127">
        <f>L60-H60</f>
        <v/>
      </c>
      <c r="N60" s="128">
        <f>M60*24*60</f>
        <v/>
      </c>
      <c r="O60" s="128">
        <f>+N60/60</f>
        <v/>
      </c>
    </row>
    <row r="61">
      <c r="A61" s="238" t="n">
        <v>59</v>
      </c>
      <c r="B61" s="150" t="n"/>
      <c r="C61" s="123" t="n"/>
      <c r="D61" s="139" t="n"/>
      <c r="E61" s="18" t="n"/>
      <c r="F61" s="18" t="n"/>
      <c r="G61" s="121" t="n"/>
      <c r="H61" s="154" t="n"/>
      <c r="I61" s="150" t="n"/>
      <c r="K61" s="261" t="n"/>
      <c r="L61" s="125" t="n"/>
      <c r="M61" s="127">
        <f>L61-H61</f>
        <v/>
      </c>
      <c r="N61" s="128">
        <f>M61*24*60</f>
        <v/>
      </c>
      <c r="O61" s="128">
        <f>+N61/60</f>
        <v/>
      </c>
    </row>
    <row r="62">
      <c r="A62" s="238" t="n">
        <v>60</v>
      </c>
      <c r="B62" s="150" t="n"/>
      <c r="C62" s="123" t="n"/>
      <c r="D62" s="139" t="n"/>
      <c r="E62" s="18" t="n"/>
      <c r="F62" s="18" t="n"/>
      <c r="G62" s="121" t="n"/>
      <c r="H62" s="154" t="n"/>
      <c r="I62" s="126" t="n"/>
      <c r="K62" s="268" t="n"/>
      <c r="L62" s="125" t="n"/>
      <c r="M62" s="127">
        <f>L62-H62</f>
        <v/>
      </c>
      <c r="N62" s="128">
        <f>M62*24*60</f>
        <v/>
      </c>
      <c r="O62" s="128">
        <f>+N62/60</f>
        <v/>
      </c>
    </row>
    <row r="63">
      <c r="A63" s="238" t="n">
        <v>61</v>
      </c>
      <c r="B63" s="150" t="n"/>
      <c r="C63" s="123" t="n"/>
      <c r="D63" s="139" t="n"/>
      <c r="E63" s="18" t="n"/>
      <c r="F63" s="18" t="n"/>
      <c r="G63" s="121" t="n"/>
      <c r="H63" s="154" t="n"/>
      <c r="I63" s="150" t="n"/>
      <c r="K63" s="267" t="n"/>
      <c r="L63" s="125" t="n"/>
      <c r="M63" s="127">
        <f>L63-H63</f>
        <v/>
      </c>
      <c r="N63" s="128">
        <f>M63*24*60</f>
        <v/>
      </c>
      <c r="O63" s="128">
        <f>+N63/60</f>
        <v/>
      </c>
    </row>
    <row r="64">
      <c r="A64" s="238" t="n">
        <v>62</v>
      </c>
      <c r="B64" s="138" t="n"/>
      <c r="C64" s="123" t="n"/>
      <c r="D64" s="132" t="n"/>
      <c r="E64" s="134" t="n"/>
      <c r="F64" s="139" t="n"/>
      <c r="G64" s="121" t="n"/>
      <c r="H64" s="133" t="n"/>
      <c r="I64" s="150" t="n"/>
      <c r="L64" s="133" t="n"/>
      <c r="M64" s="127">
        <f>L64-H64</f>
        <v/>
      </c>
      <c r="N64" s="128">
        <f>M64*24*60</f>
        <v/>
      </c>
      <c r="O64" s="128">
        <f>+N64/60</f>
        <v/>
      </c>
      <c r="P64" s="165" t="n"/>
    </row>
    <row r="65">
      <c r="A65" s="238" t="n">
        <v>63</v>
      </c>
      <c r="B65" s="138" t="n"/>
      <c r="C65" s="123" t="n"/>
      <c r="D65" s="132" t="n"/>
      <c r="E65" s="139" t="n"/>
      <c r="F65" s="139" t="n"/>
      <c r="G65" s="121" t="n"/>
      <c r="H65" s="133" t="n"/>
      <c r="I65" s="269" t="n"/>
      <c r="K65" s="270" t="n"/>
      <c r="L65" s="133" t="n"/>
      <c r="M65" s="127">
        <f>L65-H65</f>
        <v/>
      </c>
      <c r="N65" s="128">
        <f>M65*24*60</f>
        <v/>
      </c>
      <c r="O65" s="128">
        <f>+N65/60</f>
        <v/>
      </c>
      <c r="P65" s="165" t="n"/>
    </row>
    <row r="66">
      <c r="A66" s="238" t="n">
        <v>64</v>
      </c>
      <c r="B66" s="138" t="n"/>
      <c r="C66" s="123" t="n"/>
      <c r="D66" s="132" t="n"/>
      <c r="E66" s="18" t="n"/>
      <c r="G66" s="134" t="n"/>
      <c r="H66" s="133" t="n"/>
      <c r="I66" s="126" t="n"/>
      <c r="L66" s="133" t="n"/>
      <c r="M66" s="127">
        <f>L66-H66</f>
        <v/>
      </c>
      <c r="N66" s="128">
        <f>M66*24*60</f>
        <v/>
      </c>
      <c r="O66" s="128">
        <f>+N66/60</f>
        <v/>
      </c>
    </row>
    <row r="67">
      <c r="A67" s="238" t="n">
        <v>65</v>
      </c>
      <c r="B67" s="141" t="n"/>
      <c r="C67" s="123" t="n"/>
      <c r="D67" s="132" t="n"/>
      <c r="E67" s="18" t="n"/>
      <c r="F67" s="18" t="n"/>
      <c r="G67" s="134" t="n"/>
      <c r="H67" s="154" t="n"/>
      <c r="I67" s="126" t="n"/>
      <c r="L67" s="133" t="n"/>
      <c r="M67" s="127">
        <f>L67-H67</f>
        <v/>
      </c>
      <c r="N67" s="128">
        <f>M67*24*60</f>
        <v/>
      </c>
      <c r="O67" s="128">
        <f>+N67/60</f>
        <v/>
      </c>
    </row>
    <row r="68">
      <c r="A68" s="238" t="n">
        <v>66</v>
      </c>
      <c r="B68" s="141" t="n"/>
      <c r="C68" s="123" t="n"/>
      <c r="D68" s="132" t="n"/>
      <c r="E68" s="18" t="n"/>
      <c r="F68" s="18" t="n"/>
      <c r="G68" s="134" t="n"/>
      <c r="H68" s="154" t="n"/>
      <c r="I68" s="126" t="n"/>
      <c r="L68" s="133" t="n"/>
      <c r="M68" s="127">
        <f>L68-H68</f>
        <v/>
      </c>
      <c r="N68" s="128">
        <f>M68*24*60</f>
        <v/>
      </c>
      <c r="O68" s="128">
        <f>+N68/60</f>
        <v/>
      </c>
    </row>
    <row r="69">
      <c r="A69" s="238" t="n">
        <v>67</v>
      </c>
      <c r="B69" s="150" t="n"/>
      <c r="C69" s="123" t="n"/>
      <c r="D69" s="132" t="n"/>
      <c r="E69" s="139" t="n"/>
      <c r="F69" s="139" t="n"/>
      <c r="G69" s="134" t="n"/>
      <c r="H69" s="154" t="n"/>
      <c r="I69" s="126" t="n"/>
      <c r="K69" s="150" t="n"/>
      <c r="L69" s="133" t="n"/>
      <c r="M69" s="127">
        <f>L69-H69</f>
        <v/>
      </c>
      <c r="N69" s="128">
        <f>M69*24*60</f>
        <v/>
      </c>
      <c r="O69" s="128">
        <f>+N69/60</f>
        <v/>
      </c>
    </row>
    <row r="70">
      <c r="A70" s="238" t="n">
        <v>68</v>
      </c>
      <c r="B70" s="155" t="n"/>
      <c r="C70" s="123" t="n"/>
      <c r="D70" s="156" t="n"/>
      <c r="E70" s="139" t="n"/>
      <c r="F70" s="139" t="n"/>
      <c r="G70" s="134" t="n"/>
      <c r="H70" s="154" t="n"/>
      <c r="I70" s="126" t="n"/>
      <c r="K70" s="150" t="n"/>
      <c r="L70" s="133" t="n"/>
      <c r="M70" s="127">
        <f>L70-H70</f>
        <v/>
      </c>
      <c r="N70" s="128">
        <f>M70*24*60</f>
        <v/>
      </c>
      <c r="O70" s="128">
        <f>+N70/60</f>
        <v/>
      </c>
    </row>
    <row r="71">
      <c r="A71" s="238" t="n">
        <v>69</v>
      </c>
      <c r="B71" s="150" t="n"/>
      <c r="C71" s="123" t="n"/>
      <c r="D71" s="157" t="n"/>
      <c r="E71" s="139" t="n"/>
      <c r="F71" s="139" t="n"/>
      <c r="G71" s="134" t="n"/>
      <c r="H71" s="154" t="n"/>
      <c r="I71" s="126" t="n"/>
      <c r="K71" s="150" t="n"/>
      <c r="L71" s="133" t="n"/>
      <c r="M71" s="127">
        <f>L71-H71</f>
        <v/>
      </c>
      <c r="N71" s="128">
        <f>M71*24*60</f>
        <v/>
      </c>
      <c r="O71" s="128">
        <f>+N71/60</f>
        <v/>
      </c>
    </row>
    <row r="72">
      <c r="A72" s="238" t="n">
        <v>70</v>
      </c>
      <c r="B72" s="150" t="n"/>
      <c r="C72" s="123" t="n"/>
      <c r="D72" s="158" t="n"/>
      <c r="E72" s="139" t="n"/>
      <c r="F72" s="139" t="n"/>
      <c r="G72" s="134" t="n"/>
      <c r="H72" s="154" t="n"/>
      <c r="I72" s="126" t="n"/>
      <c r="K72" s="150" t="n"/>
      <c r="L72" s="133" t="n"/>
      <c r="M72" s="127">
        <f>L72-H72</f>
        <v/>
      </c>
      <c r="N72" s="128">
        <f>M72*24*60</f>
        <v/>
      </c>
      <c r="O72" s="128">
        <f>+N72/60</f>
        <v/>
      </c>
    </row>
    <row r="73">
      <c r="A73" s="238" t="n">
        <v>71</v>
      </c>
      <c r="B73" s="150" t="n"/>
      <c r="C73" s="123" t="n"/>
      <c r="D73" s="158" t="n"/>
      <c r="E73" s="139" t="n"/>
      <c r="F73" s="139" t="n"/>
      <c r="G73" s="134" t="n"/>
      <c r="H73" s="154" t="n"/>
      <c r="I73" s="126" t="n"/>
      <c r="K73" s="150" t="n"/>
      <c r="L73" s="133" t="n"/>
      <c r="M73" s="127">
        <f>L73-H73</f>
        <v/>
      </c>
      <c r="N73" s="128">
        <f>M73*24*60</f>
        <v/>
      </c>
      <c r="O73" s="128">
        <f>+N73/60</f>
        <v/>
      </c>
    </row>
    <row r="74">
      <c r="A74" s="238" t="n">
        <v>72</v>
      </c>
      <c r="B74" s="150" t="n"/>
      <c r="C74" s="123" t="n"/>
      <c r="D74" s="158" t="n"/>
      <c r="E74" s="139" t="n"/>
      <c r="F74" s="139" t="n"/>
      <c r="G74" s="134" t="n"/>
      <c r="H74" s="154" t="n"/>
      <c r="I74" s="126" t="n"/>
      <c r="K74" s="150" t="n"/>
      <c r="L74" s="133" t="n"/>
      <c r="M74" s="127">
        <f>L74-H74</f>
        <v/>
      </c>
      <c r="N74" s="128">
        <f>M74*24*60</f>
        <v/>
      </c>
      <c r="O74" s="128">
        <f>+N74/60</f>
        <v/>
      </c>
    </row>
    <row r="75">
      <c r="A75" s="238" t="n">
        <v>73</v>
      </c>
      <c r="B75" s="150" t="n"/>
      <c r="C75" s="123" t="n"/>
      <c r="D75" s="158" t="n"/>
      <c r="E75" s="139" t="n"/>
      <c r="F75" s="139" t="n"/>
      <c r="G75" s="134" t="n"/>
      <c r="H75" s="154" t="n"/>
      <c r="I75" s="126" t="n"/>
      <c r="K75" s="150" t="n"/>
      <c r="L75" s="133" t="n"/>
      <c r="M75" s="127">
        <f>L75-H75</f>
        <v/>
      </c>
      <c r="N75" s="128">
        <f>M75*24*60</f>
        <v/>
      </c>
      <c r="O75" s="128">
        <f>+N75/60</f>
        <v/>
      </c>
    </row>
    <row r="76">
      <c r="A76" s="238" t="n">
        <v>74</v>
      </c>
      <c r="B76" s="150" t="n"/>
      <c r="C76" s="123" t="n"/>
      <c r="D76" s="158" t="n"/>
      <c r="E76" s="139" t="n"/>
      <c r="F76" s="139" t="n"/>
      <c r="G76" s="150" t="n"/>
      <c r="H76" s="154" t="n"/>
      <c r="I76" s="126" t="n"/>
      <c r="K76" s="150" t="n"/>
      <c r="L76" s="159" t="n"/>
      <c r="M76" s="127">
        <f>L76-H76</f>
        <v/>
      </c>
      <c r="N76" s="128">
        <f>M76*24*60</f>
        <v/>
      </c>
      <c r="O76" s="128">
        <f>+N76/60</f>
        <v/>
      </c>
    </row>
    <row r="77">
      <c r="A77" s="238" t="n">
        <v>75</v>
      </c>
      <c r="B77" s="150" t="n"/>
      <c r="C77" s="123" t="n"/>
      <c r="D77" s="158" t="n"/>
      <c r="E77" s="139" t="n"/>
      <c r="F77" s="139" t="n"/>
      <c r="G77" s="150" t="n"/>
      <c r="H77" s="154" t="n"/>
      <c r="I77" s="126" t="n"/>
      <c r="K77" s="150" t="n"/>
      <c r="L77" s="159" t="n"/>
      <c r="M77" s="127">
        <f>L77-H77</f>
        <v/>
      </c>
      <c r="N77" s="128">
        <f>M77*24*60</f>
        <v/>
      </c>
      <c r="O77" s="128">
        <f>+N77/60</f>
        <v/>
      </c>
    </row>
    <row r="78">
      <c r="A78" s="238" t="n">
        <v>76</v>
      </c>
      <c r="B78" s="150" t="n"/>
      <c r="C78" s="123" t="n"/>
      <c r="D78" s="158" t="n"/>
      <c r="E78" s="139" t="n"/>
      <c r="F78" s="139" t="n"/>
      <c r="G78" s="150" t="n"/>
      <c r="H78" s="154" t="n"/>
      <c r="I78" s="126" t="n"/>
      <c r="K78" s="150" t="n"/>
      <c r="L78" s="159" t="n"/>
      <c r="M78" s="127">
        <f>L78-H78</f>
        <v/>
      </c>
      <c r="N78" s="128">
        <f>M78*24*60</f>
        <v/>
      </c>
      <c r="O78" s="128">
        <f>+N78/60</f>
        <v/>
      </c>
    </row>
    <row r="79">
      <c r="A79" s="238" t="n">
        <v>77</v>
      </c>
      <c r="B79" s="150" t="n"/>
      <c r="C79" s="123" t="n"/>
      <c r="D79" s="158" t="n"/>
      <c r="E79" s="139" t="n"/>
      <c r="F79" s="139" t="n"/>
      <c r="G79" s="142" t="n"/>
      <c r="H79" s="140" t="n"/>
      <c r="I79" s="126" t="n"/>
      <c r="K79" s="150" t="n"/>
      <c r="L79" s="143" t="n"/>
      <c r="M79" s="127">
        <f>L79-H79</f>
        <v/>
      </c>
      <c r="N79" s="128">
        <f>M79*24*60</f>
        <v/>
      </c>
      <c r="O79" s="128">
        <f>+N79/60</f>
        <v/>
      </c>
    </row>
    <row r="80">
      <c r="A80" s="238" t="n">
        <v>78</v>
      </c>
      <c r="B80" s="150" t="n"/>
      <c r="C80" s="123" t="n"/>
      <c r="D80" s="158" t="n"/>
      <c r="E80" s="139" t="n"/>
      <c r="F80" s="139" t="n"/>
      <c r="G80" s="150" t="n"/>
      <c r="H80" s="140" t="n"/>
      <c r="I80" s="126" t="n"/>
      <c r="K80" s="150" t="n"/>
      <c r="L80" s="160" t="n"/>
      <c r="M80" s="127">
        <f>L80-H80</f>
        <v/>
      </c>
      <c r="N80" s="128">
        <f>M80*24*60</f>
        <v/>
      </c>
      <c r="O80" s="128">
        <f>+N80/60</f>
        <v/>
      </c>
    </row>
    <row r="81">
      <c r="A81" s="238" t="n">
        <v>79</v>
      </c>
      <c r="B81" s="150" t="n"/>
      <c r="C81" s="123" t="n"/>
      <c r="D81" s="158" t="n"/>
      <c r="E81" s="18" t="n"/>
      <c r="F81" s="18" t="n"/>
      <c r="G81" s="150" t="n"/>
      <c r="H81" s="140" t="n"/>
      <c r="I81" s="126" t="n"/>
      <c r="K81" s="150" t="n"/>
      <c r="L81" s="160" t="n"/>
      <c r="M81" s="127">
        <f>L81-H81</f>
        <v/>
      </c>
      <c r="N81" s="128">
        <f>M81*24*60</f>
        <v/>
      </c>
      <c r="O81" s="128">
        <f>+N81/60</f>
        <v/>
      </c>
    </row>
    <row r="82">
      <c r="A82" s="238" t="n">
        <v>80</v>
      </c>
      <c r="B82" s="150" t="n"/>
      <c r="C82" s="123" t="n"/>
      <c r="D82" s="158" t="n"/>
      <c r="E82" s="18" t="n"/>
      <c r="F82" s="18" t="n"/>
      <c r="G82" s="150" t="n"/>
      <c r="H82" s="140" t="n"/>
      <c r="I82" s="126" t="n"/>
      <c r="K82" s="150" t="n"/>
      <c r="L82" s="143" t="n"/>
      <c r="M82" s="127">
        <f>L82-H82</f>
        <v/>
      </c>
      <c r="N82" s="128">
        <f>M82*24*60</f>
        <v/>
      </c>
      <c r="O82" s="128">
        <f>+N82/60</f>
        <v/>
      </c>
    </row>
    <row r="83">
      <c r="A83" s="238" t="n">
        <v>81</v>
      </c>
      <c r="B83" s="150" t="n"/>
      <c r="C83" s="123" t="n"/>
      <c r="D83" s="158" t="n"/>
      <c r="E83" s="18" t="n"/>
      <c r="F83" s="18" t="n"/>
      <c r="G83" s="150" t="n"/>
      <c r="H83" s="140" t="n"/>
      <c r="I83" s="126" t="n"/>
      <c r="K83" s="150" t="n"/>
      <c r="L83" s="143" t="n"/>
      <c r="M83" s="127">
        <f>L83-H83</f>
        <v/>
      </c>
      <c r="N83" s="128">
        <f>M83*24*60</f>
        <v/>
      </c>
      <c r="O83" s="128">
        <f>+N83/60</f>
        <v/>
      </c>
    </row>
    <row r="84">
      <c r="A84" s="238" t="n">
        <v>82</v>
      </c>
      <c r="B84" s="150" t="n"/>
      <c r="C84" s="123" t="n"/>
      <c r="D84" s="158" t="n"/>
      <c r="E84" s="18" t="n"/>
      <c r="F84" s="18" t="n"/>
      <c r="G84" s="150" t="n"/>
      <c r="H84" s="140" t="n"/>
      <c r="I84" s="126" t="n"/>
      <c r="K84" s="150" t="n"/>
      <c r="L84" s="143" t="n"/>
      <c r="M84" s="127">
        <f>L84-H84</f>
        <v/>
      </c>
      <c r="N84" s="128">
        <f>M84*24*60</f>
        <v/>
      </c>
      <c r="O84" s="128">
        <f>+N84/60</f>
        <v/>
      </c>
    </row>
    <row r="85">
      <c r="A85" s="238" t="n">
        <v>83</v>
      </c>
      <c r="B85" s="150" t="n"/>
      <c r="C85" s="123" t="n"/>
      <c r="D85" s="158" t="n"/>
      <c r="E85" s="18" t="n"/>
      <c r="F85" s="18" t="n"/>
      <c r="G85" s="150" t="n"/>
      <c r="H85" s="140" t="n"/>
      <c r="I85" s="126" t="n"/>
      <c r="K85" s="150" t="n"/>
      <c r="L85" s="143" t="n"/>
      <c r="M85" s="127">
        <f>L85-H85</f>
        <v/>
      </c>
      <c r="N85" s="128">
        <f>M85*24*60</f>
        <v/>
      </c>
      <c r="O85" s="128">
        <f>+N85/60</f>
        <v/>
      </c>
    </row>
    <row r="86">
      <c r="A86" s="238" t="n">
        <v>84</v>
      </c>
      <c r="B86" s="150" t="n"/>
      <c r="C86" s="123" t="n"/>
      <c r="D86" s="158" t="n"/>
      <c r="E86" s="18" t="n"/>
      <c r="F86" s="18" t="n"/>
      <c r="G86" s="150" t="n"/>
      <c r="H86" s="140" t="n"/>
      <c r="I86" s="126" t="n"/>
      <c r="K86" s="150" t="n"/>
      <c r="L86" s="143" t="n"/>
      <c r="M86" s="127">
        <f>L86-H86</f>
        <v/>
      </c>
      <c r="N86" s="128">
        <f>M86*24*60</f>
        <v/>
      </c>
      <c r="O86" s="128">
        <f>+N86/60</f>
        <v/>
      </c>
    </row>
    <row r="87">
      <c r="A87" s="238" t="n">
        <v>85</v>
      </c>
      <c r="B87" s="150" t="n"/>
      <c r="C87" s="123" t="n"/>
      <c r="D87" s="158" t="n"/>
      <c r="E87" s="18" t="n"/>
      <c r="F87" s="18" t="n"/>
      <c r="G87" s="150" t="n"/>
      <c r="H87" s="140" t="n"/>
      <c r="I87" s="126" t="n"/>
      <c r="K87" s="150" t="n"/>
      <c r="L87" s="143" t="n"/>
      <c r="M87" s="127">
        <f>L87-H87</f>
        <v/>
      </c>
      <c r="N87" s="128">
        <f>M87*24*60</f>
        <v/>
      </c>
      <c r="O87" s="128">
        <f>+N87/60</f>
        <v/>
      </c>
    </row>
    <row r="88">
      <c r="A88" s="238" t="n">
        <v>86</v>
      </c>
      <c r="B88" s="150" t="n"/>
      <c r="C88" s="123" t="n"/>
      <c r="D88" s="158" t="n"/>
      <c r="E88" s="18" t="n"/>
      <c r="F88" s="18" t="n"/>
      <c r="G88" s="150" t="n"/>
      <c r="H88" s="140" t="n"/>
      <c r="I88" s="126" t="n"/>
      <c r="K88" s="150" t="n"/>
      <c r="L88" s="143" t="n"/>
      <c r="M88" s="127">
        <f>L88-H88</f>
        <v/>
      </c>
      <c r="N88" s="128">
        <f>M88*24*60</f>
        <v/>
      </c>
      <c r="O88" s="128">
        <f>+N88/60</f>
        <v/>
      </c>
    </row>
    <row r="89">
      <c r="A89" s="238" t="n">
        <v>87</v>
      </c>
      <c r="B89" s="150" t="n"/>
      <c r="C89" s="123" t="n"/>
      <c r="D89" s="158" t="n"/>
      <c r="E89" s="18" t="n"/>
      <c r="F89" s="18" t="n"/>
      <c r="G89" s="150" t="n"/>
      <c r="H89" s="140" t="n"/>
      <c r="I89" s="126" t="n"/>
      <c r="K89" s="150" t="n"/>
      <c r="L89" s="143" t="n"/>
      <c r="M89" s="127">
        <f>L89-H89</f>
        <v/>
      </c>
      <c r="N89" s="128">
        <f>M89*24*60</f>
        <v/>
      </c>
      <c r="O89" s="128">
        <f>+N89/60</f>
        <v/>
      </c>
    </row>
    <row r="90">
      <c r="A90" s="238" t="n">
        <v>88</v>
      </c>
      <c r="B90" s="150" t="n"/>
      <c r="C90" s="123" t="n"/>
      <c r="D90" s="158" t="n"/>
      <c r="E90" s="18" t="n"/>
      <c r="F90" s="18" t="n"/>
      <c r="G90" s="142" t="n"/>
      <c r="H90" s="140" t="n"/>
      <c r="I90" s="126" t="n"/>
      <c r="K90" s="150" t="n"/>
      <c r="L90" s="143" t="n"/>
      <c r="M90" s="127">
        <f>L90-H90</f>
        <v/>
      </c>
      <c r="N90" s="128">
        <f>M90*24*60</f>
        <v/>
      </c>
      <c r="O90" s="128">
        <f>+N90/60</f>
        <v/>
      </c>
    </row>
    <row r="91">
      <c r="A91" s="238" t="n">
        <v>89</v>
      </c>
      <c r="B91" s="150" t="n"/>
      <c r="C91" s="123" t="n"/>
      <c r="D91" s="158" t="n"/>
      <c r="E91" s="18" t="n"/>
      <c r="F91" s="18" t="n"/>
      <c r="G91" s="142" t="n"/>
      <c r="H91" s="140" t="n"/>
      <c r="I91" s="126" t="n"/>
      <c r="K91" s="150" t="n"/>
      <c r="L91" s="143" t="n"/>
      <c r="M91" s="127">
        <f>L91-H91</f>
        <v/>
      </c>
      <c r="N91" s="128">
        <f>M91*24*60</f>
        <v/>
      </c>
      <c r="O91" s="128">
        <f>+N91/60</f>
        <v/>
      </c>
    </row>
    <row r="92">
      <c r="A92" s="238" t="n">
        <v>90</v>
      </c>
      <c r="B92" s="150" t="n"/>
      <c r="C92" s="123" t="n"/>
      <c r="D92" s="158" t="n"/>
      <c r="E92" s="18" t="n"/>
      <c r="F92" s="18" t="n"/>
      <c r="G92" s="142" t="n"/>
      <c r="H92" s="140" t="n"/>
      <c r="I92" s="126" t="n"/>
      <c r="K92" s="150" t="n"/>
      <c r="L92" s="143" t="n"/>
      <c r="M92" s="127">
        <f>L92-H92</f>
        <v/>
      </c>
      <c r="N92" s="128">
        <f>M92*24*60</f>
        <v/>
      </c>
      <c r="O92" s="128">
        <f>+N92/60</f>
        <v/>
      </c>
    </row>
    <row r="93">
      <c r="A93" s="238" t="n">
        <v>91</v>
      </c>
      <c r="B93" s="150" t="n"/>
      <c r="C93" s="123" t="n"/>
      <c r="D93" s="158" t="n"/>
      <c r="E93" s="18" t="n"/>
      <c r="F93" s="18" t="n"/>
      <c r="G93" s="142" t="n"/>
      <c r="H93" s="140" t="n"/>
      <c r="I93" s="126" t="n"/>
      <c r="K93" s="150" t="n"/>
      <c r="L93" s="143" t="n"/>
      <c r="M93" s="127">
        <f>L93-H93</f>
        <v/>
      </c>
      <c r="N93" s="128">
        <f>M93*24*60</f>
        <v/>
      </c>
      <c r="O93" s="128">
        <f>+N93/60</f>
        <v/>
      </c>
    </row>
    <row r="94">
      <c r="A94" s="238" t="n">
        <v>92</v>
      </c>
      <c r="B94" s="150" t="n"/>
      <c r="C94" s="123" t="n"/>
      <c r="D94" s="158" t="n"/>
      <c r="E94" s="18" t="n"/>
      <c r="F94" s="18" t="n"/>
      <c r="G94" s="142" t="n"/>
      <c r="H94" s="140" t="n"/>
      <c r="I94" s="126" t="n"/>
      <c r="K94" s="150" t="n"/>
      <c r="L94" s="143" t="n"/>
      <c r="M94" s="127">
        <f>L94-H94</f>
        <v/>
      </c>
      <c r="N94" s="128">
        <f>M94*24*60</f>
        <v/>
      </c>
      <c r="O94" s="128">
        <f>+N94/60</f>
        <v/>
      </c>
    </row>
    <row r="95">
      <c r="A95" s="238" t="n">
        <v>93</v>
      </c>
      <c r="B95" s="150" t="n"/>
      <c r="C95" s="123" t="n"/>
      <c r="D95" s="158" t="n"/>
      <c r="E95" s="18" t="n"/>
      <c r="F95" s="18" t="n"/>
      <c r="G95" s="142" t="n"/>
      <c r="H95" s="140" t="n"/>
      <c r="I95" s="126" t="n"/>
      <c r="K95" s="150" t="n"/>
      <c r="L95" s="143" t="n"/>
      <c r="M95" s="127">
        <f>L95-H95</f>
        <v/>
      </c>
      <c r="N95" s="128">
        <f>M95*24*60</f>
        <v/>
      </c>
      <c r="O95" s="128">
        <f>+N95/60</f>
        <v/>
      </c>
    </row>
    <row r="96">
      <c r="A96" s="238" t="n">
        <v>94</v>
      </c>
      <c r="C96" s="123" t="n"/>
      <c r="D96" s="146" t="n"/>
      <c r="I96" s="126" t="n"/>
      <c r="K96" s="23" t="n"/>
      <c r="M96" s="127">
        <f>L96-H96</f>
        <v/>
      </c>
      <c r="N96" s="128">
        <f>M96*24*60</f>
        <v/>
      </c>
      <c r="O96" s="128">
        <f>+N96/60</f>
        <v/>
      </c>
    </row>
    <row r="97">
      <c r="A97" s="238" t="n">
        <v>95</v>
      </c>
      <c r="C97" s="123" t="n"/>
      <c r="D97" s="146" t="n"/>
      <c r="I97" s="126" t="n"/>
      <c r="K97" s="23" t="n"/>
      <c r="M97" s="127">
        <f>L97-H97</f>
        <v/>
      </c>
      <c r="N97" s="128">
        <f>M97*24*60</f>
        <v/>
      </c>
      <c r="O97" s="128">
        <f>+N97/60</f>
        <v/>
      </c>
    </row>
    <row r="98">
      <c r="A98" s="121" t="n"/>
      <c r="C98" s="123" t="n"/>
      <c r="D98" s="146" t="n"/>
      <c r="I98" s="126" t="n"/>
      <c r="K98" s="23" t="n"/>
      <c r="M98" s="127">
        <f>L98-H98</f>
        <v/>
      </c>
      <c r="N98" s="128">
        <f>M98*24*60</f>
        <v/>
      </c>
      <c r="O98" s="128">
        <f>+N98/60</f>
        <v/>
      </c>
    </row>
    <row r="99">
      <c r="A99" s="121" t="n"/>
      <c r="C99" s="123" t="n"/>
      <c r="I99" s="126" t="n"/>
      <c r="K99" s="23" t="n"/>
      <c r="M99" s="127">
        <f>L99-H99</f>
        <v/>
      </c>
      <c r="N99" s="128">
        <f>M99*24*60</f>
        <v/>
      </c>
      <c r="O99" s="128">
        <f>+N99/60</f>
        <v/>
      </c>
    </row>
    <row r="100">
      <c r="A100" s="121" t="n"/>
      <c r="C100" s="123" t="n"/>
      <c r="I100" s="126" t="n"/>
      <c r="K100" s="144" t="n"/>
      <c r="M100" s="127">
        <f>L100-H100</f>
        <v/>
      </c>
      <c r="N100" s="128">
        <f>M100*24*60</f>
        <v/>
      </c>
      <c r="O100" s="128">
        <f>+N100/60</f>
        <v/>
      </c>
    </row>
    <row r="101">
      <c r="A101" s="121" t="n"/>
      <c r="C101" s="123" t="n"/>
      <c r="I101" s="126" t="n"/>
      <c r="K101" s="144" t="n"/>
      <c r="M101" s="127">
        <f>L101-H101</f>
        <v/>
      </c>
      <c r="N101" s="128">
        <f>M101*24*60</f>
        <v/>
      </c>
      <c r="O101" s="128">
        <f>+N101/60</f>
        <v/>
      </c>
    </row>
    <row r="102">
      <c r="A102" s="121" t="n"/>
      <c r="C102" s="123" t="n"/>
      <c r="I102" s="126" t="n"/>
      <c r="K102" s="144" t="n"/>
      <c r="M102" s="127">
        <f>L102-H102</f>
        <v/>
      </c>
      <c r="N102" s="128">
        <f>M102*24*60</f>
        <v/>
      </c>
      <c r="O102" s="128">
        <f>+N102/60</f>
        <v/>
      </c>
    </row>
    <row r="103">
      <c r="A103" s="121" t="n"/>
      <c r="C103" s="123" t="n"/>
      <c r="I103" s="126" t="n"/>
      <c r="K103" s="144" t="n"/>
    </row>
    <row r="104">
      <c r="A104" s="121" t="n"/>
      <c r="C104" s="123" t="n"/>
      <c r="I104" s="126" t="n"/>
      <c r="K104" s="144" t="n"/>
    </row>
    <row r="105">
      <c r="A105" s="121" t="n"/>
      <c r="C105" s="123" t="n"/>
      <c r="I105" s="126" t="n"/>
    </row>
    <row r="106">
      <c r="A106" s="121" t="n"/>
      <c r="C106" s="123" t="n"/>
      <c r="I106" s="126" t="n"/>
    </row>
    <row r="107">
      <c r="A107" s="121" t="n"/>
      <c r="C107" s="123" t="n"/>
      <c r="I107" s="126" t="n"/>
    </row>
    <row r="108">
      <c r="A108" s="121" t="n"/>
      <c r="C108" s="123" t="n"/>
      <c r="I108" s="126" t="n"/>
    </row>
    <row r="109">
      <c r="C109" s="123" t="n"/>
      <c r="I109" s="126" t="n"/>
    </row>
    <row r="110">
      <c r="C110" s="123" t="n"/>
      <c r="I110" s="126" t="n"/>
    </row>
    <row r="111">
      <c r="C111" s="123" t="n"/>
      <c r="I111" s="126" t="n"/>
    </row>
    <row r="112">
      <c r="C112" s="123" t="n"/>
      <c r="I112" s="126" t="n"/>
    </row>
    <row r="113">
      <c r="C113" s="123" t="n"/>
    </row>
    <row r="114">
      <c r="C114" s="123" t="n"/>
    </row>
    <row r="115">
      <c r="C115" s="123" t="n"/>
    </row>
    <row r="116">
      <c r="C116" s="123" t="n"/>
    </row>
    <row r="1045853">
      <c r="H1045853" s="145" t="n"/>
    </row>
  </sheetData>
  <autoFilter ref="A2:O102"/>
  <mergeCells count="1">
    <mergeCell ref="A1:O1"/>
  </mergeCells>
  <dataValidations count="1">
    <dataValidation sqref="J2" showDropDown="0" showInputMessage="1" showErrorMessage="1" allowBlank="1" type="list">
      <formula1>#REF!</formula1>
    </dataValidation>
  </dataValidations>
  <hyperlinks>
    <hyperlink xmlns:r="http://schemas.openxmlformats.org/officeDocument/2006/relationships" ref="B22" tooltip="10.126.32.11" display="https://deneb.medellin.gov.co/nagios/cgi-bin/extinfo.cgi?type=1&amp;host=Ap_Mas_Cerca_Guayabal" r:id="rId1"/>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sheetPr>
    <outlinePr summaryBelow="1" summaryRight="1"/>
    <pageSetUpPr/>
  </sheetPr>
  <dimension ref="A1:O1046615"/>
  <sheetViews>
    <sheetView zoomScaleNormal="100" workbookViewId="0">
      <pane ySplit="2" topLeftCell="A3" activePane="bottomLeft" state="frozen"/>
      <selection pane="bottomLeft" activeCell="B3" sqref="B3:J3"/>
    </sheetView>
  </sheetViews>
  <sheetFormatPr baseColWidth="8" defaultColWidth="0" defaultRowHeight="14.45"/>
  <cols>
    <col width="11.42578125" customWidth="1" min="1" max="1"/>
    <col width="32.28515625" customWidth="1" min="2" max="2"/>
    <col width="44.28515625" customWidth="1" style="7" min="3" max="3"/>
    <col width="18" bestFit="1" customWidth="1" min="4" max="4"/>
    <col width="22.85546875" bestFit="1" customWidth="1" min="5" max="5"/>
    <col width="24.5703125" customWidth="1" min="6" max="6"/>
    <col width="18.7109375" customWidth="1" min="7" max="7"/>
    <col width="28.28515625" customWidth="1" style="7" min="8" max="8"/>
    <col width="39.42578125" customWidth="1" min="9" max="9"/>
    <col width="22.7109375" bestFit="1" customWidth="1" min="10" max="10"/>
    <col width="20.85546875" customWidth="1" min="11" max="11"/>
    <col width="16.7109375" bestFit="1" customWidth="1" min="12" max="12"/>
    <col width="17.140625" bestFit="1" customWidth="1" min="13" max="13"/>
    <col width="2.7109375" customWidth="1" min="14" max="14"/>
    <col hidden="1" width="11.42578125" customWidth="1" min="15" max="16"/>
    <col hidden="1" min="17" max="18"/>
    <col hidden="1" width="11.42578125" customWidth="1" min="19" max="16384"/>
  </cols>
  <sheetData>
    <row r="1" ht="39" customFormat="1" customHeight="1" s="167" thickBot="1">
      <c r="A1" s="319" t="inlineStr">
        <is>
          <t>Planilla Control de Eventos Telefonía S@MI</t>
        </is>
      </c>
      <c r="B1" s="359" t="n"/>
      <c r="C1" s="359" t="n"/>
      <c r="D1" s="359" t="n"/>
      <c r="E1" s="359" t="n"/>
      <c r="F1" s="359" t="n"/>
      <c r="G1" s="359" t="n"/>
      <c r="H1" s="359" t="n"/>
      <c r="I1" s="359" t="n"/>
      <c r="J1" s="359" t="n"/>
      <c r="K1" s="359" t="n"/>
      <c r="L1" s="359" t="n"/>
      <c r="M1" s="359" t="n"/>
    </row>
    <row r="2" ht="15.95" customFormat="1" customHeight="1" s="120" thickTop="1">
      <c r="A2" s="120" t="inlineStr">
        <is>
          <t>Item</t>
        </is>
      </c>
      <c r="B2" s="120" t="inlineStr">
        <is>
          <t>Dispositivo</t>
        </is>
      </c>
      <c r="C2" s="120" t="inlineStr">
        <is>
          <t>Analista</t>
        </is>
      </c>
      <c r="D2" s="120" t="inlineStr">
        <is>
          <t>Numero de Ticket</t>
        </is>
      </c>
      <c r="E2" s="120" t="inlineStr">
        <is>
          <t>Descripcion del Evento</t>
        </is>
      </c>
      <c r="F2" s="120" t="inlineStr">
        <is>
          <t xml:space="preserve">Fecha/Hora Inicio Evento </t>
        </is>
      </c>
      <c r="G2" s="120" t="inlineStr">
        <is>
          <t>Causa</t>
        </is>
      </c>
      <c r="H2" s="120" t="inlineStr">
        <is>
          <t>Areas Involucradas</t>
        </is>
      </c>
      <c r="I2" s="120" t="inlineStr">
        <is>
          <t>Solucion</t>
        </is>
      </c>
      <c r="J2" s="120" t="inlineStr">
        <is>
          <t xml:space="preserve">Fecha/Hora Fin Evento </t>
        </is>
      </c>
      <c r="K2" s="120" t="inlineStr">
        <is>
          <t>Tiempo Total</t>
        </is>
      </c>
      <c r="L2" s="120" t="inlineStr">
        <is>
          <t>Tiempo Minutos</t>
        </is>
      </c>
      <c r="M2" s="214" t="inlineStr">
        <is>
          <t>Tiempo en Horas</t>
        </is>
      </c>
      <c r="N2" s="208" t="n"/>
    </row>
    <row r="3" ht="15.75" customFormat="1" customHeight="1" s="170">
      <c r="A3" s="121" t="n">
        <v>1</v>
      </c>
      <c r="B3" s="172" t="n"/>
      <c r="C3" s="123" t="n"/>
      <c r="D3" s="130" t="n"/>
      <c r="E3" s="173" t="n"/>
      <c r="F3" s="125" t="n"/>
      <c r="G3" s="9" t="n"/>
      <c r="H3" s="121" t="n"/>
      <c r="I3" s="257" t="n"/>
      <c r="J3" s="125" t="n"/>
      <c r="K3" s="127">
        <f>J3-F3</f>
        <v/>
      </c>
      <c r="L3" s="152">
        <f>K3*24*60</f>
        <v/>
      </c>
      <c r="M3" s="153">
        <f>K3*24</f>
        <v/>
      </c>
      <c r="N3" s="168" t="n"/>
      <c r="O3" s="169" t="n"/>
    </row>
    <row r="4" ht="15.6" customFormat="1" customHeight="1" s="164">
      <c r="A4" s="171" t="n">
        <v>2</v>
      </c>
      <c r="C4" s="123" t="n"/>
      <c r="D4" s="140" t="n"/>
      <c r="E4" s="141" t="n"/>
      <c r="F4" s="170" t="n"/>
      <c r="G4" s="18" t="n"/>
      <c r="H4" s="121" t="n"/>
      <c r="I4" s="170" t="n"/>
      <c r="J4" s="174" t="n"/>
      <c r="K4" s="151">
        <f>J4-F4</f>
        <v/>
      </c>
      <c r="L4" s="152">
        <f>K4*24*60</f>
        <v/>
      </c>
      <c r="M4" s="153">
        <f>K4*24</f>
        <v/>
      </c>
    </row>
    <row r="5" ht="16.5" customFormat="1" customHeight="1" s="163">
      <c r="A5" s="171" t="n">
        <v>3</v>
      </c>
      <c r="B5" s="172" t="n"/>
      <c r="C5" s="123" t="n"/>
      <c r="D5" s="140" t="n"/>
      <c r="E5" s="141" t="n"/>
      <c r="F5" s="170" t="n"/>
      <c r="G5" s="18" t="n"/>
      <c r="H5" s="121" t="n"/>
      <c r="I5" s="170" t="n"/>
      <c r="J5" s="174" t="n"/>
      <c r="K5" s="151">
        <f>J5-F5</f>
        <v/>
      </c>
      <c r="L5" s="152">
        <f>K5*24*60</f>
        <v/>
      </c>
      <c r="M5" s="153">
        <f>K5*24</f>
        <v/>
      </c>
    </row>
    <row r="6" ht="15.6" customFormat="1" customHeight="1" s="163">
      <c r="A6" s="171" t="n">
        <v>4</v>
      </c>
      <c r="B6" s="172" t="n"/>
      <c r="C6" s="123" t="n"/>
      <c r="D6" s="18" t="n"/>
      <c r="E6" s="141" t="n"/>
      <c r="F6" s="170" t="n"/>
      <c r="G6" s="18" t="n"/>
      <c r="H6" s="121" t="n"/>
      <c r="I6" s="170" t="n"/>
      <c r="J6" s="174" t="n"/>
      <c r="K6" s="151">
        <f>J6-F6</f>
        <v/>
      </c>
      <c r="L6" s="152">
        <f>K6*24*60</f>
        <v/>
      </c>
      <c r="M6" s="153">
        <f>K6*24</f>
        <v/>
      </c>
    </row>
    <row r="7" ht="14.25" customFormat="1" customHeight="1" s="163">
      <c r="A7" s="171" t="n">
        <v>5</v>
      </c>
      <c r="B7" s="172" t="n"/>
      <c r="C7" s="123" t="n"/>
      <c r="D7" s="18" t="n"/>
      <c r="E7" s="141" t="n"/>
      <c r="F7" s="170" t="n"/>
      <c r="G7" s="141" t="n"/>
      <c r="H7" s="121" t="n"/>
      <c r="I7" s="141" t="n"/>
      <c r="J7" s="174" t="n"/>
      <c r="K7" s="151">
        <f>J7-F7</f>
        <v/>
      </c>
      <c r="L7" s="152">
        <f>K7*24*60</f>
        <v/>
      </c>
      <c r="M7" s="153">
        <f>K7*24</f>
        <v/>
      </c>
    </row>
    <row r="8" ht="15.75" customFormat="1" customHeight="1" s="163">
      <c r="A8" s="171" t="n">
        <v>6</v>
      </c>
      <c r="B8" s="172" t="n"/>
      <c r="C8" s="123" t="n"/>
      <c r="D8" s="140" t="n"/>
      <c r="E8" s="141" t="n"/>
      <c r="F8" s="170" t="n"/>
      <c r="G8" s="141" t="n"/>
      <c r="H8" s="121" t="n"/>
      <c r="I8" s="141" t="n"/>
      <c r="J8" s="174" t="n"/>
      <c r="K8" s="151">
        <f>J8-F8</f>
        <v/>
      </c>
      <c r="L8" s="152">
        <f>K8*24*60</f>
        <v/>
      </c>
      <c r="M8" s="153">
        <f>K8*24</f>
        <v/>
      </c>
    </row>
    <row r="9" ht="15.75" customFormat="1" customHeight="1" s="163">
      <c r="A9" s="171" t="n">
        <v>7</v>
      </c>
      <c r="B9" s="172" t="n"/>
      <c r="C9" s="123" t="n"/>
      <c r="D9" s="140" t="n"/>
      <c r="E9" s="141" t="n"/>
      <c r="F9" s="170" t="n"/>
      <c r="G9" s="141" t="n"/>
      <c r="H9" s="121" t="n"/>
      <c r="I9" s="141" t="n"/>
      <c r="J9" s="174" t="n"/>
      <c r="K9" s="151">
        <f>J9-F9</f>
        <v/>
      </c>
      <c r="L9" s="152">
        <f>K9*24*60</f>
        <v/>
      </c>
      <c r="M9" s="153">
        <f>K9*24</f>
        <v/>
      </c>
    </row>
    <row r="10" ht="15.6" customFormat="1" customHeight="1" s="163">
      <c r="A10" s="171" t="n">
        <v>8</v>
      </c>
      <c r="B10" s="172" t="n"/>
      <c r="C10" s="123" t="n"/>
      <c r="D10" s="140" t="n"/>
      <c r="E10" s="141" t="n"/>
      <c r="F10" s="170" t="n"/>
      <c r="G10" s="130" t="n"/>
      <c r="H10" s="121" t="n"/>
      <c r="I10" s="170" t="n"/>
      <c r="J10" s="174" t="n"/>
      <c r="K10" s="151">
        <f>J10-F10</f>
        <v/>
      </c>
      <c r="L10" s="152">
        <f>K10*24*60</f>
        <v/>
      </c>
      <c r="M10" s="153">
        <f>K10*24</f>
        <v/>
      </c>
    </row>
    <row r="11" ht="15.6" customFormat="1" customHeight="1" s="163">
      <c r="A11" s="171" t="n">
        <v>9</v>
      </c>
      <c r="B11" s="172" t="n"/>
      <c r="C11" s="123" t="n"/>
      <c r="D11" s="18" t="n"/>
      <c r="E11" s="141" t="n"/>
      <c r="F11" s="170" t="n"/>
      <c r="G11" s="18" t="n"/>
      <c r="H11" s="121" t="n"/>
      <c r="I11" s="170" t="n"/>
      <c r="J11" s="174" t="n"/>
      <c r="K11" s="151">
        <f>J11-F11</f>
        <v/>
      </c>
      <c r="L11" s="152">
        <f>K11*24*60</f>
        <v/>
      </c>
      <c r="M11" s="153">
        <f>K11*24</f>
        <v/>
      </c>
    </row>
    <row r="12" ht="15.6" customFormat="1" customHeight="1" s="163">
      <c r="A12" s="171" t="n">
        <v>10</v>
      </c>
      <c r="B12" s="172" t="n"/>
      <c r="C12" s="123" t="n"/>
      <c r="D12" s="18" t="n"/>
      <c r="E12" s="141" t="n"/>
      <c r="F12" s="170" t="n"/>
      <c r="G12" s="18" t="n"/>
      <c r="H12" s="121" t="n"/>
      <c r="I12" s="170" t="n"/>
      <c r="J12" s="174" t="n"/>
      <c r="K12" s="151">
        <f>J12-F12</f>
        <v/>
      </c>
      <c r="L12" s="152">
        <f>K12*24*60</f>
        <v/>
      </c>
      <c r="M12" s="153">
        <f>K12*24</f>
        <v/>
      </c>
    </row>
    <row r="13" ht="15.6" customFormat="1" customHeight="1" s="163">
      <c r="A13" s="171" t="n">
        <v>11</v>
      </c>
      <c r="B13" s="172" t="n"/>
      <c r="C13" s="123" t="n"/>
      <c r="D13" s="140" t="n"/>
      <c r="E13" s="141" t="n"/>
      <c r="F13" s="170" t="n"/>
      <c r="G13" s="18" t="n"/>
      <c r="H13" s="121" t="n"/>
      <c r="I13" s="170" t="n"/>
      <c r="J13" s="174" t="n"/>
      <c r="K13" s="151">
        <f>J13-F13</f>
        <v/>
      </c>
      <c r="L13" s="152">
        <f>K13*24*60</f>
        <v/>
      </c>
      <c r="M13" s="153">
        <f>K13*24</f>
        <v/>
      </c>
    </row>
    <row r="14" ht="15.6" customFormat="1" customHeight="1" s="163">
      <c r="A14" s="171" t="n">
        <v>12</v>
      </c>
      <c r="B14" s="172" t="n"/>
      <c r="C14" s="123" t="n"/>
      <c r="D14" s="140" t="n"/>
      <c r="E14" s="141" t="n"/>
      <c r="F14" s="170" t="n"/>
      <c r="G14" s="141" t="n"/>
      <c r="H14" s="121" t="n"/>
      <c r="I14" s="141" t="n"/>
      <c r="J14" s="174" t="n"/>
      <c r="K14" s="151">
        <f>J14-F14</f>
        <v/>
      </c>
      <c r="L14" s="152">
        <f>K14*24*60</f>
        <v/>
      </c>
      <c r="M14" s="153">
        <f>K14*24</f>
        <v/>
      </c>
    </row>
    <row r="15" ht="15.6" customFormat="1" customHeight="1" s="163">
      <c r="A15" s="171" t="n">
        <v>13</v>
      </c>
      <c r="B15" s="172" t="n"/>
      <c r="C15" s="123" t="n"/>
      <c r="D15" s="18" t="n"/>
      <c r="E15" s="141" t="n"/>
      <c r="F15" s="170" t="n"/>
      <c r="G15" s="141" t="n"/>
      <c r="H15" s="121" t="n"/>
      <c r="I15" s="141" t="n"/>
      <c r="J15" s="174" t="n"/>
      <c r="K15" s="151">
        <f>J15-F15</f>
        <v/>
      </c>
      <c r="L15" s="152">
        <f>K15*24*60</f>
        <v/>
      </c>
      <c r="M15" s="153">
        <f>K15*24</f>
        <v/>
      </c>
    </row>
    <row r="16" ht="15.6" customFormat="1" customHeight="1" s="163">
      <c r="A16" s="171" t="n">
        <v>14</v>
      </c>
      <c r="B16" s="172" t="n"/>
      <c r="C16" s="123" t="n"/>
      <c r="D16" s="18" t="n"/>
      <c r="E16" s="141" t="n"/>
      <c r="F16" s="170" t="n"/>
      <c r="G16" s="141" t="n"/>
      <c r="H16" s="121" t="n"/>
      <c r="I16" s="141" t="n"/>
      <c r="J16" s="174" t="n"/>
      <c r="K16" s="151">
        <f>J16-F16</f>
        <v/>
      </c>
      <c r="L16" s="152">
        <f>K16*24*60</f>
        <v/>
      </c>
      <c r="M16" s="153">
        <f>K16*24</f>
        <v/>
      </c>
    </row>
    <row r="17" ht="15.6" customFormat="1" customHeight="1" s="163">
      <c r="A17" s="171" t="n">
        <v>15</v>
      </c>
      <c r="B17" s="172" t="n"/>
      <c r="C17" s="123" t="n"/>
      <c r="D17" s="140" t="n"/>
      <c r="E17" s="141" t="n"/>
      <c r="F17" s="170" t="n"/>
      <c r="G17" s="130" t="n"/>
      <c r="H17" s="121" t="n"/>
      <c r="I17" s="170" t="n"/>
      <c r="J17" s="174" t="n"/>
      <c r="K17" s="151">
        <f>J17-F17</f>
        <v/>
      </c>
      <c r="L17" s="152">
        <f>K17*24*60</f>
        <v/>
      </c>
      <c r="M17" s="153">
        <f>K17*24</f>
        <v/>
      </c>
    </row>
    <row r="18" ht="15.6" customFormat="1" customHeight="1" s="163">
      <c r="A18" s="171" t="n">
        <v>16</v>
      </c>
      <c r="B18" s="172" t="n"/>
      <c r="C18" s="123" t="n"/>
      <c r="D18" s="140" t="n"/>
      <c r="E18" s="141" t="n"/>
      <c r="F18" s="170" t="n"/>
      <c r="G18" s="18" t="n"/>
      <c r="H18" s="121" t="n"/>
      <c r="I18" s="170" t="n"/>
      <c r="J18" s="174" t="n"/>
      <c r="K18" s="151">
        <f>J18-F18</f>
        <v/>
      </c>
      <c r="L18" s="152">
        <f>K18*24*60</f>
        <v/>
      </c>
      <c r="M18" s="153">
        <f>K18*24</f>
        <v/>
      </c>
    </row>
    <row r="19" ht="15.6" customFormat="1" customHeight="1" s="163">
      <c r="A19" s="171" t="n">
        <v>17</v>
      </c>
      <c r="B19" s="172" t="n"/>
      <c r="C19" s="123" t="n"/>
      <c r="D19" s="140" t="n"/>
      <c r="E19" s="141" t="n"/>
      <c r="F19" s="170" t="n"/>
      <c r="G19" s="18" t="n"/>
      <c r="H19" s="121" t="n"/>
      <c r="I19" s="170" t="n"/>
      <c r="J19" s="174" t="n"/>
      <c r="K19" s="151">
        <f>J19-F19</f>
        <v/>
      </c>
      <c r="L19" s="152">
        <f>K19*24*60</f>
        <v/>
      </c>
      <c r="M19" s="153">
        <f>K19*24</f>
        <v/>
      </c>
    </row>
    <row r="20" ht="15.6" customFormat="1" customHeight="1" s="163">
      <c r="A20" s="171" t="n">
        <v>18</v>
      </c>
      <c r="B20" s="172" t="n"/>
      <c r="C20" s="123" t="n"/>
      <c r="D20" s="18" t="n"/>
      <c r="E20" s="141" t="n"/>
      <c r="F20" s="170" t="n"/>
      <c r="G20" s="18" t="n"/>
      <c r="H20" s="121" t="n"/>
      <c r="I20" s="170" t="n"/>
      <c r="J20" s="174" t="n"/>
      <c r="K20" s="151">
        <f>J20-F20</f>
        <v/>
      </c>
      <c r="L20" s="152">
        <f>K20*24*60</f>
        <v/>
      </c>
      <c r="M20" s="153">
        <f>K20*24</f>
        <v/>
      </c>
    </row>
    <row r="21" ht="15.6" customFormat="1" customHeight="1" s="163">
      <c r="A21" s="171" t="n">
        <v>19</v>
      </c>
      <c r="B21" s="172" t="n"/>
      <c r="C21" s="123" t="n"/>
      <c r="D21" s="18" t="n"/>
      <c r="E21" s="141" t="n"/>
      <c r="F21" s="170" t="n"/>
      <c r="G21" s="141" t="n"/>
      <c r="H21" s="121" t="n"/>
      <c r="I21" s="141" t="n"/>
      <c r="J21" s="174" t="n"/>
      <c r="K21" s="151">
        <f>J21-F21</f>
        <v/>
      </c>
      <c r="L21" s="152">
        <f>K21*24*60</f>
        <v/>
      </c>
      <c r="M21" s="153">
        <f>K21*24</f>
        <v/>
      </c>
    </row>
    <row r="22" ht="15.6" customFormat="1" customHeight="1" s="163">
      <c r="A22" s="171" t="n">
        <v>20</v>
      </c>
      <c r="B22" s="172" t="n"/>
      <c r="C22" s="123" t="n"/>
      <c r="D22" s="140" t="n"/>
      <c r="E22" s="141" t="n"/>
      <c r="F22" s="170" t="n"/>
      <c r="G22" s="141" t="n"/>
      <c r="H22" s="121" t="n"/>
      <c r="I22" s="141" t="n"/>
      <c r="J22" s="174" t="n"/>
      <c r="K22" s="151">
        <f>J22-F22</f>
        <v/>
      </c>
      <c r="L22" s="152">
        <f>K22*24*60</f>
        <v/>
      </c>
      <c r="M22" s="153">
        <f>K22*24</f>
        <v/>
      </c>
    </row>
    <row r="23" ht="15.6" customFormat="1" customHeight="1" s="163">
      <c r="A23" s="171" t="n">
        <v>21</v>
      </c>
      <c r="B23" s="172" t="n"/>
      <c r="C23" s="123" t="n"/>
      <c r="D23" s="140" t="n"/>
      <c r="E23" s="141" t="n"/>
      <c r="F23" s="170" t="n"/>
      <c r="G23" s="141" t="n"/>
      <c r="H23" s="121" t="n"/>
      <c r="I23" s="141" t="n"/>
      <c r="J23" s="174" t="n"/>
      <c r="K23" s="151">
        <f>J23-F23</f>
        <v/>
      </c>
      <c r="L23" s="152">
        <f>K23*24*60</f>
        <v/>
      </c>
      <c r="M23" s="153">
        <f>K23*24</f>
        <v/>
      </c>
    </row>
    <row r="24" ht="15.6" customFormat="1" customHeight="1" s="163">
      <c r="A24" s="171" t="n">
        <v>22</v>
      </c>
      <c r="B24" s="172" t="n"/>
      <c r="C24" s="123" t="n"/>
      <c r="D24" s="140" t="n"/>
      <c r="E24" s="141" t="n"/>
      <c r="F24" s="170" t="n"/>
      <c r="G24" s="130" t="n"/>
      <c r="H24" s="121" t="n"/>
      <c r="I24" s="170" t="n"/>
      <c r="J24" s="174" t="n"/>
      <c r="K24" s="151">
        <f>J24-F24</f>
        <v/>
      </c>
      <c r="L24" s="152">
        <f>K24*24*60</f>
        <v/>
      </c>
      <c r="M24" s="153">
        <f>K24*24</f>
        <v/>
      </c>
    </row>
    <row r="25" ht="15.6" customFormat="1" customHeight="1" s="163">
      <c r="A25" s="171" t="n">
        <v>23</v>
      </c>
      <c r="B25" s="172" t="n"/>
      <c r="C25" s="123" t="n"/>
      <c r="D25" s="141" t="n"/>
      <c r="E25" s="141" t="n"/>
      <c r="F25" s="141" t="n"/>
      <c r="G25" s="141" t="n"/>
      <c r="H25" s="121" t="n"/>
      <c r="I25" s="141" t="n"/>
      <c r="J25" s="141" t="n"/>
      <c r="K25" s="151">
        <f>J25-F25</f>
        <v/>
      </c>
      <c r="L25" s="152">
        <f>K25*24*60</f>
        <v/>
      </c>
      <c r="M25" s="153">
        <f>K25*24</f>
        <v/>
      </c>
    </row>
    <row r="26" ht="15.6" customFormat="1" customHeight="1" s="163">
      <c r="A26" s="171" t="n">
        <v>24</v>
      </c>
      <c r="B26" s="172" t="n"/>
      <c r="C26" s="123" t="n"/>
      <c r="D26" s="141" t="n"/>
      <c r="E26" s="141" t="n"/>
      <c r="F26" s="141" t="n"/>
      <c r="G26" s="141" t="n"/>
      <c r="H26" s="121" t="n"/>
      <c r="I26" s="141" t="n"/>
      <c r="J26" s="141" t="n"/>
      <c r="K26" s="151">
        <f>J26-F26</f>
        <v/>
      </c>
      <c r="L26" s="152">
        <f>K26*24*60</f>
        <v/>
      </c>
      <c r="M26" s="153">
        <f>K26*24</f>
        <v/>
      </c>
    </row>
    <row r="27" ht="15.6" customFormat="1" customHeight="1" s="163">
      <c r="A27" s="171" t="n">
        <v>25</v>
      </c>
      <c r="B27" s="172" t="n"/>
      <c r="C27" s="123" t="n"/>
      <c r="D27" s="141" t="n"/>
      <c r="E27" s="141" t="n"/>
      <c r="F27" s="141" t="n"/>
      <c r="G27" s="141" t="n"/>
      <c r="H27" s="121" t="n"/>
      <c r="I27" s="141" t="n"/>
      <c r="J27" s="141" t="n"/>
      <c r="K27" s="151">
        <f>J27-F27</f>
        <v/>
      </c>
      <c r="L27" s="152">
        <f>K27*24*60</f>
        <v/>
      </c>
      <c r="M27" s="153">
        <f>K27*24</f>
        <v/>
      </c>
    </row>
    <row r="28" ht="15.6" customFormat="1" customHeight="1" s="163">
      <c r="A28" s="171" t="n">
        <v>26</v>
      </c>
      <c r="B28" s="172" t="n"/>
      <c r="C28" s="123" t="n"/>
      <c r="D28" s="141" t="n"/>
      <c r="E28" s="141" t="n"/>
      <c r="F28" s="141" t="n"/>
      <c r="G28" s="141" t="n"/>
      <c r="H28" s="121" t="n"/>
      <c r="I28" s="141" t="n"/>
      <c r="J28" s="141" t="n"/>
      <c r="K28" s="151">
        <f>J28-F28</f>
        <v/>
      </c>
      <c r="L28" s="152">
        <f>K28*24*60</f>
        <v/>
      </c>
      <c r="M28" s="153">
        <f>K28*24</f>
        <v/>
      </c>
    </row>
    <row r="29" ht="15.6" customFormat="1" customHeight="1" s="163">
      <c r="A29" s="171" t="n">
        <v>27</v>
      </c>
      <c r="B29" s="172" t="n"/>
      <c r="C29" s="123" t="n"/>
      <c r="D29" s="141" t="n"/>
      <c r="E29" s="141" t="n"/>
      <c r="F29" s="141" t="n"/>
      <c r="G29" s="141" t="n"/>
      <c r="H29" s="121" t="n"/>
      <c r="I29" s="141" t="n"/>
      <c r="J29" s="141" t="n"/>
      <c r="K29" s="151">
        <f>J29-F29</f>
        <v/>
      </c>
      <c r="L29" s="152">
        <f>K29*24*60</f>
        <v/>
      </c>
      <c r="M29" s="153">
        <f>K29*24</f>
        <v/>
      </c>
    </row>
    <row r="30" ht="15.6" customFormat="1" customHeight="1" s="163">
      <c r="A30" s="171" t="n">
        <v>28</v>
      </c>
      <c r="B30" s="172" t="n"/>
      <c r="C30" s="123" t="n"/>
      <c r="D30" s="141" t="n"/>
      <c r="E30" s="141" t="n"/>
      <c r="F30" s="141" t="n"/>
      <c r="G30" s="141" t="n"/>
      <c r="H30" s="121" t="n"/>
      <c r="I30" s="141" t="n"/>
      <c r="J30" s="141" t="n"/>
      <c r="K30" s="151">
        <f>J30-F30</f>
        <v/>
      </c>
      <c r="L30" s="152">
        <f>K30*24*60</f>
        <v/>
      </c>
      <c r="M30" s="153">
        <f>K30*24</f>
        <v/>
      </c>
    </row>
    <row r="31" ht="15.6" customFormat="1" customHeight="1" s="163">
      <c r="A31" s="171" t="n">
        <v>29</v>
      </c>
      <c r="B31" s="172" t="n"/>
      <c r="C31" s="123" t="n"/>
      <c r="D31" s="141" t="n"/>
      <c r="E31" s="141" t="n"/>
      <c r="F31" s="141" t="n"/>
      <c r="G31" s="141" t="n"/>
      <c r="H31" s="121" t="n"/>
      <c r="I31" s="141" t="n"/>
      <c r="J31" s="141" t="n"/>
      <c r="K31" s="151">
        <f>J31-F31</f>
        <v/>
      </c>
      <c r="L31" s="152">
        <f>K31*24*60</f>
        <v/>
      </c>
      <c r="M31" s="153">
        <f>K31*24</f>
        <v/>
      </c>
    </row>
    <row r="32" ht="15.6" customFormat="1" customHeight="1" s="163">
      <c r="A32" s="171" t="n">
        <v>30</v>
      </c>
      <c r="B32" s="172" t="n"/>
      <c r="C32" s="123" t="n"/>
      <c r="D32" s="141" t="n"/>
      <c r="E32" s="141" t="n"/>
      <c r="F32" s="141" t="n"/>
      <c r="G32" s="141" t="n"/>
      <c r="H32" s="121" t="n"/>
      <c r="I32" s="141" t="n"/>
      <c r="J32" s="141" t="n"/>
      <c r="K32" s="151">
        <f>J32-F32</f>
        <v/>
      </c>
      <c r="L32" s="152">
        <f>K32*24*60</f>
        <v/>
      </c>
      <c r="M32" s="153">
        <f>K32*24</f>
        <v/>
      </c>
    </row>
    <row r="33" ht="15.6" customFormat="1" customHeight="1" s="163">
      <c r="A33" s="171" t="n">
        <v>31</v>
      </c>
      <c r="B33" s="172" t="n"/>
      <c r="C33" s="123" t="n"/>
      <c r="D33" s="141" t="n"/>
      <c r="E33" s="141" t="n"/>
      <c r="F33" s="141" t="n"/>
      <c r="G33" s="141" t="n"/>
      <c r="H33" s="121" t="n"/>
      <c r="I33" s="141" t="n"/>
      <c r="J33" s="141" t="n"/>
      <c r="K33" s="151">
        <f>J33-F33</f>
        <v/>
      </c>
      <c r="L33" s="152">
        <f>K33*24*60</f>
        <v/>
      </c>
      <c r="M33" s="153">
        <f>K33*24</f>
        <v/>
      </c>
    </row>
    <row r="34" ht="15.6" customFormat="1" customHeight="1" s="163">
      <c r="A34" s="171" t="n">
        <v>32</v>
      </c>
      <c r="B34" s="172" t="n"/>
      <c r="C34" s="123" t="n"/>
      <c r="D34" s="141" t="n"/>
      <c r="E34" s="141" t="n"/>
      <c r="F34" s="141" t="n"/>
      <c r="G34" s="141" t="n"/>
      <c r="H34" s="121" t="n"/>
      <c r="I34" s="141" t="n"/>
      <c r="J34" s="141" t="n"/>
      <c r="K34" s="151">
        <f>J34-F34</f>
        <v/>
      </c>
      <c r="L34" s="152">
        <f>K34*24*60</f>
        <v/>
      </c>
      <c r="M34" s="153">
        <f>K34*24</f>
        <v/>
      </c>
    </row>
    <row r="35" ht="15.6" customFormat="1" customHeight="1" s="163">
      <c r="A35" s="171" t="n">
        <v>33</v>
      </c>
      <c r="B35" s="172" t="n"/>
      <c r="C35" s="123" t="n"/>
      <c r="D35" s="141" t="n"/>
      <c r="E35" s="141" t="n"/>
      <c r="F35" s="141" t="n"/>
      <c r="G35" s="141" t="n"/>
      <c r="H35" s="121" t="n"/>
      <c r="I35" s="141" t="n"/>
      <c r="J35" s="141" t="n"/>
      <c r="K35" s="151">
        <f>J35-F35</f>
        <v/>
      </c>
      <c r="L35" s="152">
        <f>K35*24*60</f>
        <v/>
      </c>
      <c r="M35" s="153">
        <f>K35*24</f>
        <v/>
      </c>
    </row>
    <row r="36" ht="15.6" customFormat="1" customHeight="1" s="163">
      <c r="A36" s="171" t="n">
        <v>34</v>
      </c>
      <c r="B36" s="172" t="n"/>
      <c r="C36" s="123" t="n"/>
      <c r="D36" s="141" t="n"/>
      <c r="E36" s="141" t="n"/>
      <c r="F36" s="141" t="n"/>
      <c r="G36" s="141" t="n"/>
      <c r="H36" s="121" t="n"/>
      <c r="I36" s="141" t="n"/>
      <c r="J36" s="141" t="n"/>
      <c r="K36" s="151">
        <f>J36-F36</f>
        <v/>
      </c>
      <c r="L36" s="152">
        <f>K36*24*60</f>
        <v/>
      </c>
      <c r="M36" s="153">
        <f>K36*24</f>
        <v/>
      </c>
    </row>
    <row r="37" ht="15.6" customFormat="1" customHeight="1" s="163">
      <c r="A37" s="171" t="n">
        <v>35</v>
      </c>
      <c r="B37" s="172" t="n"/>
      <c r="C37" s="123" t="n"/>
      <c r="D37" s="141" t="n"/>
      <c r="E37" s="141" t="n"/>
      <c r="F37" s="141" t="n"/>
      <c r="G37" s="141" t="n"/>
      <c r="H37" s="121" t="n"/>
      <c r="I37" s="141" t="n"/>
      <c r="J37" s="141" t="n"/>
      <c r="K37" s="151">
        <f>J37-F37</f>
        <v/>
      </c>
      <c r="L37" s="152">
        <f>K37*24*60</f>
        <v/>
      </c>
      <c r="M37" s="153">
        <f>K37*24</f>
        <v/>
      </c>
    </row>
    <row r="38" ht="15.6" customFormat="1" customHeight="1" s="163">
      <c r="A38" s="171" t="n">
        <v>36</v>
      </c>
      <c r="B38" s="172" t="n"/>
      <c r="C38" s="123" t="n"/>
      <c r="D38" s="141" t="n"/>
      <c r="E38" s="141" t="n"/>
      <c r="F38" s="141" t="n"/>
      <c r="G38" s="141" t="n"/>
      <c r="H38" s="121" t="n"/>
      <c r="I38" s="141" t="n"/>
      <c r="J38" s="141" t="n"/>
      <c r="K38" s="151">
        <f>J38-F38</f>
        <v/>
      </c>
      <c r="L38" s="152">
        <f>K38*24*60</f>
        <v/>
      </c>
      <c r="M38" s="153">
        <f>K38*24</f>
        <v/>
      </c>
    </row>
    <row r="39" ht="15.6" customFormat="1" customHeight="1" s="163">
      <c r="A39" s="171" t="n">
        <v>37</v>
      </c>
      <c r="B39" s="172" t="n"/>
      <c r="C39" s="123" t="n"/>
      <c r="D39" s="141" t="n"/>
      <c r="E39" s="141" t="n"/>
      <c r="F39" s="141" t="n"/>
      <c r="G39" s="141" t="n"/>
      <c r="H39" s="121" t="n"/>
      <c r="I39" s="141" t="n"/>
      <c r="J39" s="141" t="n"/>
      <c r="K39" s="151">
        <f>J39-F39</f>
        <v/>
      </c>
      <c r="L39" s="152">
        <f>K39*24*60</f>
        <v/>
      </c>
      <c r="M39" s="153">
        <f>K39*24</f>
        <v/>
      </c>
    </row>
    <row r="40" ht="15.6" customFormat="1" customHeight="1" s="163">
      <c r="A40" s="171" t="n">
        <v>38</v>
      </c>
      <c r="B40" s="172" t="n"/>
      <c r="C40" s="123" t="n"/>
      <c r="D40" s="141" t="n"/>
      <c r="E40" s="141" t="n"/>
      <c r="F40" s="141" t="n"/>
      <c r="G40" s="141" t="n"/>
      <c r="H40" s="121" t="n"/>
      <c r="I40" s="141" t="n"/>
      <c r="J40" s="141" t="n"/>
      <c r="K40" s="151">
        <f>J40-F40</f>
        <v/>
      </c>
      <c r="L40" s="152">
        <f>K40*24*60</f>
        <v/>
      </c>
      <c r="M40" s="153">
        <f>K40*24</f>
        <v/>
      </c>
    </row>
    <row r="41" ht="15.6" customFormat="1" customHeight="1" s="163">
      <c r="A41" s="171" t="n">
        <v>39</v>
      </c>
      <c r="B41" s="172" t="n"/>
      <c r="C41" s="123" t="n"/>
      <c r="D41" s="141" t="n"/>
      <c r="E41" s="141" t="n"/>
      <c r="F41" s="141" t="n"/>
      <c r="G41" s="141" t="n"/>
      <c r="H41" s="121" t="n"/>
      <c r="I41" s="141" t="n"/>
      <c r="J41" s="141" t="n"/>
      <c r="K41" s="151">
        <f>J41-F41</f>
        <v/>
      </c>
      <c r="L41" s="152">
        <f>K41*24*60</f>
        <v/>
      </c>
      <c r="M41" s="153">
        <f>K41*24</f>
        <v/>
      </c>
    </row>
    <row r="42" ht="15.6" customFormat="1" customHeight="1" s="163">
      <c r="A42" s="171" t="n">
        <v>40</v>
      </c>
      <c r="B42" s="172" t="n"/>
      <c r="C42" s="123" t="n"/>
      <c r="D42" s="141" t="n"/>
      <c r="E42" s="141" t="n"/>
      <c r="F42" s="141" t="n"/>
      <c r="G42" s="141" t="n"/>
      <c r="H42" s="121" t="n"/>
      <c r="I42" s="141" t="n"/>
      <c r="J42" s="141" t="n"/>
      <c r="K42" s="151">
        <f>J42-F42</f>
        <v/>
      </c>
      <c r="L42" s="152">
        <f>K42*24*60</f>
        <v/>
      </c>
      <c r="M42" s="153">
        <f>K42*24</f>
        <v/>
      </c>
    </row>
    <row r="43" ht="15.6" customFormat="1" customHeight="1" s="163">
      <c r="A43" s="171" t="n">
        <v>41</v>
      </c>
      <c r="B43" s="172" t="n"/>
      <c r="C43" s="123" t="n"/>
      <c r="D43" s="141" t="n"/>
      <c r="E43" s="141" t="n"/>
      <c r="F43" s="141" t="n"/>
      <c r="G43" s="141" t="n"/>
      <c r="H43" s="121" t="n"/>
      <c r="I43" s="141" t="n"/>
      <c r="J43" s="141" t="n"/>
      <c r="K43" s="151">
        <f>J43-F43</f>
        <v/>
      </c>
      <c r="L43" s="152">
        <f>K43*24*60</f>
        <v/>
      </c>
      <c r="M43" s="153">
        <f>K43*24</f>
        <v/>
      </c>
    </row>
    <row r="44" ht="15.6" customFormat="1" customHeight="1" s="163">
      <c r="A44" s="171" t="n">
        <v>42</v>
      </c>
      <c r="B44" s="172" t="n"/>
      <c r="C44" s="123" t="n"/>
      <c r="D44" s="141" t="n"/>
      <c r="E44" s="141" t="n"/>
      <c r="F44" s="141" t="n"/>
      <c r="G44" s="141" t="n"/>
      <c r="H44" s="121" t="n"/>
      <c r="I44" s="141" t="n"/>
      <c r="J44" s="141" t="n"/>
      <c r="K44" s="151">
        <f>J44-F44</f>
        <v/>
      </c>
      <c r="L44" s="152">
        <f>K44*24*60</f>
        <v/>
      </c>
      <c r="M44" s="153">
        <f>K44*24</f>
        <v/>
      </c>
    </row>
    <row r="45" ht="15.6" customFormat="1" customHeight="1" s="163">
      <c r="A45" s="171" t="n">
        <v>43</v>
      </c>
      <c r="B45" s="172" t="n"/>
      <c r="C45" s="123" t="n"/>
      <c r="D45" s="141" t="n"/>
      <c r="E45" s="141" t="n"/>
      <c r="F45" s="141" t="n"/>
      <c r="G45" s="141" t="n"/>
      <c r="H45" s="121" t="n"/>
      <c r="I45" s="141" t="n"/>
      <c r="J45" s="141" t="n"/>
      <c r="K45" s="151">
        <f>J45-F45</f>
        <v/>
      </c>
      <c r="L45" s="152">
        <f>K45*24*60</f>
        <v/>
      </c>
      <c r="M45" s="153">
        <f>K45*24</f>
        <v/>
      </c>
    </row>
    <row r="46" ht="15.6" customFormat="1" customHeight="1" s="163">
      <c r="A46" s="171" t="n">
        <v>44</v>
      </c>
      <c r="B46" s="172" t="n"/>
      <c r="C46" s="123" t="n"/>
      <c r="D46" s="141" t="n"/>
      <c r="E46" s="141" t="n"/>
      <c r="F46" s="141" t="n"/>
      <c r="G46" s="141" t="n"/>
      <c r="H46" s="121" t="n"/>
      <c r="I46" s="141" t="n"/>
      <c r="J46" s="141" t="n"/>
      <c r="K46" s="151">
        <f>J46-F46</f>
        <v/>
      </c>
      <c r="L46" s="152">
        <f>K46*24*60</f>
        <v/>
      </c>
      <c r="M46" s="153">
        <f>K46*24</f>
        <v/>
      </c>
    </row>
    <row r="47" ht="15.6" customFormat="1" customHeight="1" s="163">
      <c r="A47" s="171" t="n">
        <v>45</v>
      </c>
      <c r="B47" s="172" t="n"/>
      <c r="C47" s="123" t="n"/>
      <c r="D47" s="141" t="n"/>
      <c r="E47" s="141" t="n"/>
      <c r="F47" s="141" t="n"/>
      <c r="G47" s="141" t="n"/>
      <c r="H47" s="121" t="n"/>
      <c r="I47" s="141" t="n"/>
      <c r="J47" s="141" t="n"/>
      <c r="K47" s="151">
        <f>J47-F47</f>
        <v/>
      </c>
      <c r="L47" s="152">
        <f>K47*24*60</f>
        <v/>
      </c>
      <c r="M47" s="153">
        <f>K47*24</f>
        <v/>
      </c>
    </row>
    <row r="48" ht="15.6" customFormat="1" customHeight="1" s="163">
      <c r="A48" s="171" t="n">
        <v>46</v>
      </c>
      <c r="B48" s="172" t="n"/>
      <c r="C48" s="123" t="n"/>
      <c r="D48" s="141" t="n"/>
      <c r="E48" s="141" t="n"/>
      <c r="F48" s="141" t="n"/>
      <c r="G48" s="141" t="n"/>
      <c r="H48" s="121" t="n"/>
      <c r="I48" s="141" t="n"/>
      <c r="J48" s="141" t="n"/>
      <c r="K48" s="151">
        <f>J48-F48</f>
        <v/>
      </c>
      <c r="L48" s="152">
        <f>K48*24*60</f>
        <v/>
      </c>
      <c r="M48" s="153">
        <f>K48*24</f>
        <v/>
      </c>
    </row>
    <row r="49" ht="15.6" customFormat="1" customHeight="1" s="163">
      <c r="A49" s="171" t="n">
        <v>47</v>
      </c>
      <c r="B49" s="172" t="n"/>
      <c r="C49" s="123" t="n"/>
      <c r="D49" s="141" t="n"/>
      <c r="E49" s="141" t="n"/>
      <c r="F49" s="141" t="n"/>
      <c r="G49" s="141" t="n"/>
      <c r="H49" s="121" t="n"/>
      <c r="I49" s="141" t="n"/>
      <c r="J49" s="141" t="n"/>
      <c r="K49" s="151">
        <f>J49-F49</f>
        <v/>
      </c>
      <c r="L49" s="152">
        <f>K49*24*60</f>
        <v/>
      </c>
      <c r="M49" s="153">
        <f>K49*24</f>
        <v/>
      </c>
    </row>
    <row r="50" ht="15.6" customFormat="1" customHeight="1" s="163">
      <c r="A50" s="171" t="n">
        <v>48</v>
      </c>
      <c r="B50" s="172" t="n"/>
      <c r="C50" s="123" t="n"/>
      <c r="D50" s="141" t="n"/>
      <c r="E50" s="141" t="n"/>
      <c r="F50" s="141" t="n"/>
      <c r="G50" s="141" t="n"/>
      <c r="H50" s="121" t="n"/>
      <c r="I50" s="141" t="n"/>
      <c r="J50" s="141" t="n"/>
      <c r="K50" s="151">
        <f>J50-F50</f>
        <v/>
      </c>
      <c r="L50" s="152">
        <f>K50*24*60</f>
        <v/>
      </c>
      <c r="M50" s="153">
        <f>K50*24</f>
        <v/>
      </c>
    </row>
    <row r="51" ht="15.6" customFormat="1" customHeight="1" s="163">
      <c r="A51" s="171" t="n">
        <v>49</v>
      </c>
      <c r="B51" s="172" t="n"/>
      <c r="C51" s="123" t="n"/>
      <c r="D51" s="141" t="n"/>
      <c r="E51" s="141" t="n"/>
      <c r="F51" s="141" t="n"/>
      <c r="G51" s="141" t="n"/>
      <c r="H51" s="121" t="n"/>
      <c r="I51" s="141" t="n"/>
      <c r="J51" s="141" t="n"/>
      <c r="K51" s="151">
        <f>J51-F51</f>
        <v/>
      </c>
      <c r="L51" s="152">
        <f>K51*24*60</f>
        <v/>
      </c>
      <c r="M51" s="153">
        <f>K51*24</f>
        <v/>
      </c>
    </row>
    <row r="52" ht="15.6" customFormat="1" customHeight="1" s="163">
      <c r="A52" s="171" t="n">
        <v>50</v>
      </c>
      <c r="B52" s="172" t="n"/>
      <c r="C52" s="123" t="n"/>
      <c r="D52" s="141" t="n"/>
      <c r="E52" s="141" t="n"/>
      <c r="F52" s="141" t="n"/>
      <c r="G52" s="141" t="n"/>
      <c r="H52" s="121" t="n"/>
      <c r="I52" s="141" t="n"/>
      <c r="J52" s="141" t="n"/>
      <c r="K52" s="151">
        <f>J52-F52</f>
        <v/>
      </c>
      <c r="L52" s="152">
        <f>K52*24*60</f>
        <v/>
      </c>
      <c r="M52" s="153">
        <f>K52*24</f>
        <v/>
      </c>
    </row>
    <row r="53" ht="15.6" customFormat="1" customHeight="1" s="163">
      <c r="A53" s="171" t="n">
        <v>51</v>
      </c>
      <c r="B53" s="172" t="n"/>
      <c r="C53" s="123" t="n"/>
      <c r="D53" s="141" t="n"/>
      <c r="E53" s="141" t="n"/>
      <c r="F53" s="141" t="n"/>
      <c r="G53" s="141" t="n"/>
      <c r="H53" s="121" t="n"/>
      <c r="I53" s="141" t="n"/>
      <c r="J53" s="141" t="n"/>
      <c r="K53" s="151">
        <f>J53-F53</f>
        <v/>
      </c>
      <c r="L53" s="152">
        <f>K53*24*60</f>
        <v/>
      </c>
      <c r="M53" s="153">
        <f>K53*24</f>
        <v/>
      </c>
    </row>
    <row r="54" ht="15.6" customFormat="1" customHeight="1" s="163">
      <c r="A54" s="171" t="n">
        <v>52</v>
      </c>
      <c r="B54" s="172" t="n"/>
      <c r="C54" s="123" t="n"/>
      <c r="D54" s="141" t="n"/>
      <c r="E54" s="141" t="n"/>
      <c r="F54" s="141" t="n"/>
      <c r="G54" s="141" t="n"/>
      <c r="H54" s="121" t="n"/>
      <c r="I54" s="141" t="n"/>
      <c r="J54" s="141" t="n"/>
      <c r="K54" s="151">
        <f>J54-F54</f>
        <v/>
      </c>
      <c r="L54" s="152">
        <f>K54*24*60</f>
        <v/>
      </c>
      <c r="M54" s="153">
        <f>K54*24</f>
        <v/>
      </c>
    </row>
    <row r="55" ht="15.6" customFormat="1" customHeight="1" s="163">
      <c r="A55" s="171" t="n">
        <v>53</v>
      </c>
      <c r="B55" s="172" t="n"/>
      <c r="C55" s="123" t="n"/>
      <c r="D55" s="141" t="n"/>
      <c r="E55" s="141" t="n"/>
      <c r="F55" s="141" t="n"/>
      <c r="G55" s="141" t="n"/>
      <c r="H55" s="121" t="n"/>
      <c r="I55" s="141" t="n"/>
      <c r="J55" s="141" t="n"/>
      <c r="K55" s="151">
        <f>J55-F55</f>
        <v/>
      </c>
      <c r="L55" s="152">
        <f>K55*24*60</f>
        <v/>
      </c>
      <c r="M55" s="153">
        <f>K55*24</f>
        <v/>
      </c>
    </row>
    <row r="56" ht="15.6" customFormat="1" customHeight="1" s="163">
      <c r="A56" s="171" t="n">
        <v>54</v>
      </c>
      <c r="B56" s="172" t="n"/>
      <c r="C56" s="123" t="n"/>
      <c r="D56" s="141" t="n"/>
      <c r="E56" s="141" t="n"/>
      <c r="F56" s="141" t="n"/>
      <c r="G56" s="141" t="n"/>
      <c r="H56" s="121" t="n"/>
      <c r="I56" s="141" t="n"/>
      <c r="J56" s="141" t="n"/>
      <c r="K56" s="151">
        <f>J56-F56</f>
        <v/>
      </c>
      <c r="L56" s="152">
        <f>K56*24*60</f>
        <v/>
      </c>
      <c r="M56" s="153">
        <f>K56*24</f>
        <v/>
      </c>
    </row>
    <row r="57" ht="15.6" customFormat="1" customHeight="1" s="163">
      <c r="A57" s="171" t="n">
        <v>55</v>
      </c>
      <c r="B57" s="172" t="n"/>
      <c r="C57" s="123" t="n"/>
      <c r="D57" s="141" t="n"/>
      <c r="E57" s="141" t="n"/>
      <c r="F57" s="141" t="n"/>
      <c r="G57" s="141" t="n"/>
      <c r="H57" s="121" t="n"/>
      <c r="I57" s="141" t="n"/>
      <c r="J57" s="141" t="n"/>
      <c r="K57" s="151">
        <f>J57-F57</f>
        <v/>
      </c>
      <c r="L57" s="152">
        <f>K57*24*60</f>
        <v/>
      </c>
      <c r="M57" s="153">
        <f>K57*24</f>
        <v/>
      </c>
    </row>
    <row r="58" ht="15.6" customFormat="1" customHeight="1" s="163">
      <c r="A58" s="171" t="n">
        <v>56</v>
      </c>
      <c r="B58" s="172" t="n"/>
      <c r="C58" s="123" t="n"/>
      <c r="D58" s="141" t="n"/>
      <c r="E58" s="141" t="n"/>
      <c r="F58" s="141" t="n"/>
      <c r="G58" s="141" t="n"/>
      <c r="H58" s="121" t="n"/>
      <c r="I58" s="141" t="n"/>
      <c r="J58" s="141" t="n"/>
      <c r="K58" s="151">
        <f>J58-F58</f>
        <v/>
      </c>
      <c r="L58" s="152">
        <f>K58*24*60</f>
        <v/>
      </c>
      <c r="M58" s="153">
        <f>K58*24</f>
        <v/>
      </c>
    </row>
    <row r="59" ht="15.6" customFormat="1" customHeight="1" s="163">
      <c r="A59" s="171" t="n">
        <v>57</v>
      </c>
      <c r="B59" s="172" t="n"/>
      <c r="C59" s="123" t="n"/>
      <c r="D59" s="141" t="n"/>
      <c r="E59" s="141" t="n"/>
      <c r="F59" s="141" t="n"/>
      <c r="G59" s="141" t="n"/>
      <c r="H59" s="121" t="n"/>
      <c r="I59" s="141" t="n"/>
      <c r="J59" s="141" t="n"/>
      <c r="K59" s="151">
        <f>J59-F59</f>
        <v/>
      </c>
      <c r="L59" s="152">
        <f>K59*24*60</f>
        <v/>
      </c>
      <c r="M59" s="153">
        <f>K59*24</f>
        <v/>
      </c>
    </row>
    <row r="60" ht="15.6" customFormat="1" customHeight="1" s="163">
      <c r="A60" s="171" t="n">
        <v>58</v>
      </c>
      <c r="B60" s="172" t="n"/>
      <c r="C60" s="123" t="n"/>
      <c r="D60" s="141" t="n"/>
      <c r="E60" s="141" t="n"/>
      <c r="F60" s="141" t="n"/>
      <c r="G60" s="141" t="n"/>
      <c r="H60" s="121" t="n"/>
      <c r="I60" s="141" t="n"/>
      <c r="J60" s="141" t="n"/>
      <c r="K60" s="151">
        <f>J60-F60</f>
        <v/>
      </c>
      <c r="L60" s="152">
        <f>K60*24*60</f>
        <v/>
      </c>
      <c r="M60" s="153">
        <f>K60*24</f>
        <v/>
      </c>
    </row>
    <row r="61" ht="15.6" customFormat="1" customHeight="1" s="163">
      <c r="A61" s="171" t="n">
        <v>59</v>
      </c>
      <c r="B61" s="172" t="n"/>
      <c r="C61" s="123" t="n"/>
      <c r="D61" s="141" t="n"/>
      <c r="E61" s="141" t="n"/>
      <c r="F61" s="141" t="n"/>
      <c r="G61" s="141" t="n"/>
      <c r="H61" s="121" t="n"/>
      <c r="I61" s="141" t="n"/>
      <c r="J61" s="141" t="n"/>
      <c r="K61" s="151">
        <f>J61-F61</f>
        <v/>
      </c>
      <c r="L61" s="152">
        <f>K61*24*60</f>
        <v/>
      </c>
      <c r="M61" s="153">
        <f>K61*24</f>
        <v/>
      </c>
    </row>
    <row r="62" ht="15.6" customFormat="1" customHeight="1" s="163">
      <c r="A62" s="171" t="n">
        <v>60</v>
      </c>
      <c r="B62" s="172" t="n"/>
      <c r="C62" s="123" t="n"/>
      <c r="D62" s="141" t="n"/>
      <c r="E62" s="141" t="n"/>
      <c r="F62" s="141" t="n"/>
      <c r="G62" s="141" t="n"/>
      <c r="H62" s="121" t="n"/>
      <c r="I62" s="141" t="n"/>
      <c r="J62" s="141" t="n"/>
      <c r="K62" s="151">
        <f>J62-F62</f>
        <v/>
      </c>
      <c r="L62" s="152">
        <f>K62*24*60</f>
        <v/>
      </c>
      <c r="M62" s="153">
        <f>K62*24</f>
        <v/>
      </c>
    </row>
    <row r="63" ht="15.6" customFormat="1" customHeight="1" s="163">
      <c r="A63" s="171" t="n">
        <v>61</v>
      </c>
      <c r="B63" s="172" t="n"/>
      <c r="C63" s="123" t="n"/>
      <c r="D63" s="141" t="n"/>
      <c r="E63" s="141" t="n"/>
      <c r="F63" s="141" t="n"/>
      <c r="G63" s="141" t="n"/>
      <c r="H63" s="121" t="n"/>
      <c r="I63" s="141" t="n"/>
      <c r="J63" s="141" t="n"/>
      <c r="K63" s="151">
        <f>J63-F63</f>
        <v/>
      </c>
      <c r="L63" s="152">
        <f>K63*24*60</f>
        <v/>
      </c>
      <c r="M63" s="153">
        <f>K63*24</f>
        <v/>
      </c>
    </row>
    <row r="64" ht="15.6" customFormat="1" customHeight="1" s="163">
      <c r="A64" s="171" t="n">
        <v>62</v>
      </c>
      <c r="B64" s="172" t="n"/>
      <c r="C64" s="123" t="n"/>
      <c r="D64" s="141" t="n"/>
      <c r="E64" s="141" t="n"/>
      <c r="F64" s="141" t="n"/>
      <c r="G64" s="141" t="n"/>
      <c r="H64" s="121" t="n"/>
      <c r="I64" s="141" t="n"/>
      <c r="J64" s="141" t="n"/>
      <c r="K64" s="151">
        <f>J64-F64</f>
        <v/>
      </c>
      <c r="L64" s="152">
        <f>K64*24*60</f>
        <v/>
      </c>
      <c r="M64" s="153">
        <f>K64*24</f>
        <v/>
      </c>
    </row>
    <row r="65" ht="15.6" customFormat="1" customHeight="1" s="163">
      <c r="A65" s="171" t="n">
        <v>63</v>
      </c>
      <c r="B65" s="172" t="n"/>
      <c r="C65" s="123" t="n"/>
      <c r="D65" s="141" t="n"/>
      <c r="E65" s="141" t="n"/>
      <c r="F65" s="141" t="n"/>
      <c r="G65" s="141" t="n"/>
      <c r="H65" s="121" t="n"/>
      <c r="I65" s="141" t="n"/>
      <c r="J65" s="141" t="n"/>
      <c r="K65" s="151">
        <f>J65-F65</f>
        <v/>
      </c>
      <c r="L65" s="152">
        <f>K65*24*60</f>
        <v/>
      </c>
      <c r="M65" s="153">
        <f>K65*24</f>
        <v/>
      </c>
    </row>
    <row r="66" ht="15.6" customFormat="1" customHeight="1" s="163">
      <c r="A66" s="171" t="n">
        <v>64</v>
      </c>
      <c r="B66" s="172" t="n"/>
      <c r="C66" s="123" t="n"/>
      <c r="D66" s="141" t="n"/>
      <c r="E66" s="141" t="n"/>
      <c r="F66" s="141" t="n"/>
      <c r="G66" s="141" t="n"/>
      <c r="H66" s="121" t="n"/>
      <c r="I66" s="141" t="n"/>
      <c r="J66" s="141" t="n"/>
      <c r="K66" s="151">
        <f>J66-F66</f>
        <v/>
      </c>
      <c r="L66" s="152">
        <f>K66*24*60</f>
        <v/>
      </c>
      <c r="M66" s="153">
        <f>K66*24</f>
        <v/>
      </c>
    </row>
    <row r="67" ht="15.6" customFormat="1" customHeight="1" s="163">
      <c r="A67" s="171" t="n">
        <v>65</v>
      </c>
      <c r="B67" s="172" t="n"/>
      <c r="C67" s="123" t="n"/>
      <c r="D67" s="141" t="n"/>
      <c r="E67" s="141" t="n"/>
      <c r="F67" s="141" t="n"/>
      <c r="G67" s="141" t="n"/>
      <c r="H67" s="121" t="n"/>
      <c r="I67" s="141" t="n"/>
      <c r="J67" s="141" t="n"/>
      <c r="K67" s="151">
        <f>J67-F67</f>
        <v/>
      </c>
      <c r="L67" s="152">
        <f>K67*24*60</f>
        <v/>
      </c>
      <c r="M67" s="153">
        <f>K67*24</f>
        <v/>
      </c>
    </row>
    <row r="68" ht="15.6" customFormat="1" customHeight="1" s="163">
      <c r="A68" s="171" t="n">
        <v>66</v>
      </c>
      <c r="B68" s="172" t="n"/>
      <c r="C68" s="123" t="n"/>
      <c r="D68" s="141" t="n"/>
      <c r="E68" s="141" t="n"/>
      <c r="F68" s="141" t="n"/>
      <c r="G68" s="141" t="n"/>
      <c r="H68" s="121" t="n"/>
      <c r="I68" s="141" t="n"/>
      <c r="J68" s="141" t="n"/>
      <c r="K68" s="151">
        <f>J68-F68</f>
        <v/>
      </c>
      <c r="L68" s="152">
        <f>K68*24*60</f>
        <v/>
      </c>
      <c r="M68" s="153">
        <f>K68*24</f>
        <v/>
      </c>
    </row>
    <row r="69" ht="15.6" customFormat="1" customHeight="1" s="163">
      <c r="A69" s="171" t="n">
        <v>67</v>
      </c>
      <c r="B69" s="172" t="n"/>
      <c r="C69" s="123" t="n"/>
      <c r="D69" s="141" t="n"/>
      <c r="E69" s="141" t="n"/>
      <c r="F69" s="141" t="n"/>
      <c r="G69" s="141" t="n"/>
      <c r="H69" s="121" t="n"/>
      <c r="I69" s="141" t="n"/>
      <c r="J69" s="141" t="n"/>
      <c r="K69" s="151">
        <f>J69-F69</f>
        <v/>
      </c>
      <c r="L69" s="152">
        <f>K69*24*60</f>
        <v/>
      </c>
      <c r="M69" s="153">
        <f>K69*24</f>
        <v/>
      </c>
    </row>
    <row r="70" ht="15.6" customFormat="1" customHeight="1" s="163">
      <c r="A70" s="171" t="n">
        <v>68</v>
      </c>
      <c r="B70" s="172" t="n"/>
      <c r="C70" s="123" t="n"/>
      <c r="D70" s="141" t="n"/>
      <c r="E70" s="141" t="n"/>
      <c r="F70" s="141" t="n"/>
      <c r="G70" s="141" t="n"/>
      <c r="H70" s="121" t="n"/>
      <c r="I70" s="141" t="n"/>
      <c r="J70" s="141" t="n"/>
      <c r="K70" s="151">
        <f>J70-F70</f>
        <v/>
      </c>
      <c r="L70" s="152">
        <f>K70*24*60</f>
        <v/>
      </c>
      <c r="M70" s="153">
        <f>K70*24</f>
        <v/>
      </c>
    </row>
    <row r="71" ht="15.6" customFormat="1" customHeight="1" s="163">
      <c r="A71" s="171" t="n">
        <v>69</v>
      </c>
      <c r="B71" s="172" t="n"/>
      <c r="C71" s="123" t="n"/>
      <c r="D71" s="141" t="n"/>
      <c r="E71" s="141" t="n"/>
      <c r="F71" s="141" t="n"/>
      <c r="G71" s="141" t="n"/>
      <c r="H71" s="121" t="n"/>
      <c r="I71" s="141" t="n"/>
      <c r="J71" s="141" t="n"/>
      <c r="K71" s="151">
        <f>J71-F71</f>
        <v/>
      </c>
      <c r="L71" s="152">
        <f>K71*24*60</f>
        <v/>
      </c>
      <c r="M71" s="153">
        <f>K71*24</f>
        <v/>
      </c>
    </row>
    <row r="72" ht="15.6" customFormat="1" customHeight="1" s="163">
      <c r="A72" s="171" t="n">
        <v>70</v>
      </c>
      <c r="B72" s="172" t="n"/>
      <c r="C72" s="123" t="n"/>
      <c r="D72" s="141" t="n"/>
      <c r="E72" s="141" t="n"/>
      <c r="F72" s="141" t="n"/>
      <c r="G72" s="141" t="n"/>
      <c r="H72" s="121" t="n"/>
      <c r="I72" s="141" t="n"/>
      <c r="J72" s="141" t="n"/>
      <c r="K72" s="151">
        <f>J72-F72</f>
        <v/>
      </c>
      <c r="L72" s="152">
        <f>K72*24*60</f>
        <v/>
      </c>
      <c r="M72" s="153">
        <f>K72*24</f>
        <v/>
      </c>
    </row>
    <row r="73" ht="15.6" customFormat="1" customHeight="1" s="163">
      <c r="A73" s="171" t="n">
        <v>71</v>
      </c>
      <c r="B73" s="172" t="n"/>
      <c r="C73" s="123" t="n"/>
      <c r="D73" s="141" t="n"/>
      <c r="E73" s="141" t="n"/>
      <c r="F73" s="141" t="n"/>
      <c r="G73" s="141" t="n"/>
      <c r="H73" s="121" t="n"/>
      <c r="I73" s="141" t="n"/>
      <c r="J73" s="141" t="n"/>
      <c r="K73" s="151">
        <f>J73-F73</f>
        <v/>
      </c>
      <c r="L73" s="152">
        <f>K73*24*60</f>
        <v/>
      </c>
      <c r="M73" s="153">
        <f>K73*24</f>
        <v/>
      </c>
    </row>
    <row r="74" ht="15.6" customFormat="1" customHeight="1" s="163">
      <c r="A74" s="171" t="n">
        <v>72</v>
      </c>
      <c r="B74" s="172" t="n"/>
      <c r="C74" s="123" t="n"/>
      <c r="D74" s="141" t="n"/>
      <c r="E74" s="141" t="n"/>
      <c r="F74" s="141" t="n"/>
      <c r="G74" s="141" t="n"/>
      <c r="H74" s="121" t="n"/>
      <c r="I74" s="141" t="n"/>
      <c r="J74" s="141" t="n"/>
      <c r="K74" s="151">
        <f>J74-F74</f>
        <v/>
      </c>
      <c r="L74" s="152">
        <f>K74*24*60</f>
        <v/>
      </c>
      <c r="M74" s="153">
        <f>K74*24</f>
        <v/>
      </c>
    </row>
    <row r="75" ht="15.6" customFormat="1" customHeight="1" s="163">
      <c r="A75" s="171" t="n">
        <v>73</v>
      </c>
      <c r="B75" s="172" t="n"/>
      <c r="C75" s="123" t="n"/>
      <c r="D75" s="141" t="n"/>
      <c r="E75" s="141" t="n"/>
      <c r="F75" s="141" t="n"/>
      <c r="G75" s="141" t="n"/>
      <c r="H75" s="121" t="n"/>
      <c r="I75" s="141" t="n"/>
      <c r="J75" s="141" t="n"/>
      <c r="K75" s="151">
        <f>J75-F75</f>
        <v/>
      </c>
      <c r="L75" s="152">
        <f>K75*24*60</f>
        <v/>
      </c>
      <c r="M75" s="153">
        <f>K75*24</f>
        <v/>
      </c>
    </row>
    <row r="76" ht="15.6" customFormat="1" customHeight="1" s="163">
      <c r="A76" s="171" t="n">
        <v>74</v>
      </c>
      <c r="B76" s="172" t="n"/>
      <c r="C76" s="123" t="n"/>
      <c r="D76" s="141" t="n"/>
      <c r="E76" s="141" t="n"/>
      <c r="F76" s="141" t="n"/>
      <c r="G76" s="141" t="n"/>
      <c r="H76" s="121" t="n"/>
      <c r="I76" s="141" t="n"/>
      <c r="J76" s="141" t="n"/>
      <c r="K76" s="151">
        <f>J76-F76</f>
        <v/>
      </c>
      <c r="L76" s="152">
        <f>K76*24*60</f>
        <v/>
      </c>
      <c r="M76" s="153">
        <f>K76*24</f>
        <v/>
      </c>
    </row>
    <row r="77" ht="15.6" customFormat="1" customHeight="1" s="163">
      <c r="A77" s="171" t="n">
        <v>75</v>
      </c>
      <c r="B77" s="172" t="n"/>
      <c r="C77" s="123" t="n"/>
      <c r="D77" s="141" t="n"/>
      <c r="E77" s="141" t="n"/>
      <c r="F77" s="141" t="n"/>
      <c r="G77" s="141" t="n"/>
      <c r="H77" s="121" t="n"/>
      <c r="I77" s="141" t="n"/>
      <c r="J77" s="141" t="n"/>
      <c r="K77" s="151">
        <f>J77-F77</f>
        <v/>
      </c>
      <c r="L77" s="152">
        <f>K77*24*60</f>
        <v/>
      </c>
      <c r="M77" s="153">
        <f>K77*24</f>
        <v/>
      </c>
    </row>
    <row r="78" ht="15.6" customFormat="1" customHeight="1" s="163">
      <c r="A78" s="171" t="n">
        <v>76</v>
      </c>
      <c r="B78" s="172" t="n"/>
      <c r="C78" s="123" t="n"/>
      <c r="D78" s="141" t="n"/>
      <c r="E78" s="141" t="n"/>
      <c r="F78" s="141" t="n"/>
      <c r="G78" s="141" t="n"/>
      <c r="H78" s="121" t="n"/>
      <c r="I78" s="141" t="n"/>
      <c r="J78" s="141" t="n"/>
      <c r="K78" s="151">
        <f>J78-F78</f>
        <v/>
      </c>
      <c r="L78" s="152">
        <f>K78*24*60</f>
        <v/>
      </c>
      <c r="M78" s="153">
        <f>K78*24</f>
        <v/>
      </c>
    </row>
    <row r="79" ht="15.6" customFormat="1" customHeight="1" s="163">
      <c r="A79" s="171" t="n">
        <v>77</v>
      </c>
      <c r="B79" s="172" t="n"/>
      <c r="C79" s="123" t="n"/>
      <c r="D79" s="141" t="n"/>
      <c r="E79" s="141" t="n"/>
      <c r="F79" s="141" t="n"/>
      <c r="G79" s="141" t="n"/>
      <c r="H79" s="121" t="n"/>
      <c r="I79" s="141" t="n"/>
      <c r="J79" s="141" t="n"/>
      <c r="K79" s="151">
        <f>J79-F79</f>
        <v/>
      </c>
      <c r="L79" s="152">
        <f>K79*24*60</f>
        <v/>
      </c>
      <c r="M79" s="153">
        <f>K79*24</f>
        <v/>
      </c>
    </row>
    <row r="80" ht="15.6" customFormat="1" customHeight="1" s="163">
      <c r="A80" s="171" t="n">
        <v>78</v>
      </c>
      <c r="B80" s="172" t="n"/>
      <c r="C80" s="123" t="n"/>
      <c r="D80" s="141" t="n"/>
      <c r="E80" s="141" t="n"/>
      <c r="F80" s="141" t="n"/>
      <c r="G80" s="141" t="n"/>
      <c r="H80" s="121" t="n"/>
      <c r="I80" s="141" t="n"/>
      <c r="J80" s="141" t="n"/>
      <c r="K80" s="151">
        <f>J80-F80</f>
        <v/>
      </c>
      <c r="L80" s="152">
        <f>K80*24*60</f>
        <v/>
      </c>
      <c r="M80" s="153">
        <f>K80*24</f>
        <v/>
      </c>
    </row>
    <row r="81" ht="15.6" customFormat="1" customHeight="1" s="163">
      <c r="A81" s="171" t="n">
        <v>79</v>
      </c>
      <c r="B81" s="172" t="n"/>
      <c r="C81" s="123" t="n"/>
      <c r="D81" s="141" t="n"/>
      <c r="E81" s="141" t="n"/>
      <c r="F81" s="141" t="n"/>
      <c r="G81" s="141" t="n"/>
      <c r="H81" s="121" t="n"/>
      <c r="I81" s="141" t="n"/>
      <c r="J81" s="141" t="n"/>
      <c r="K81" s="151">
        <f>J81-F81</f>
        <v/>
      </c>
      <c r="L81" s="152">
        <f>K81*24*60</f>
        <v/>
      </c>
      <c r="M81" s="153">
        <f>K81*24</f>
        <v/>
      </c>
    </row>
    <row r="82" ht="15.6" customFormat="1" customHeight="1" s="163">
      <c r="A82" s="171" t="n">
        <v>80</v>
      </c>
      <c r="B82" s="172" t="n"/>
      <c r="C82" s="123" t="n"/>
      <c r="D82" s="141" t="n"/>
      <c r="E82" s="141" t="n"/>
      <c r="F82" s="141" t="n"/>
      <c r="G82" s="141" t="n"/>
      <c r="H82" s="121" t="n"/>
      <c r="I82" s="141" t="n"/>
      <c r="J82" s="141" t="n"/>
      <c r="K82" s="151">
        <f>J82-F82</f>
        <v/>
      </c>
      <c r="L82" s="152">
        <f>K82*24*60</f>
        <v/>
      </c>
      <c r="M82" s="153">
        <f>K82*24</f>
        <v/>
      </c>
    </row>
    <row r="83" ht="15.6" customFormat="1" customHeight="1" s="163">
      <c r="A83" s="171" t="n">
        <v>81</v>
      </c>
      <c r="B83" s="172" t="n"/>
      <c r="C83" s="123" t="n"/>
      <c r="D83" s="141" t="n"/>
      <c r="E83" s="141" t="n"/>
      <c r="F83" s="141" t="n"/>
      <c r="G83" s="141" t="n"/>
      <c r="H83" s="121" t="n"/>
      <c r="I83" s="141" t="n"/>
      <c r="J83" s="141" t="n"/>
      <c r="K83" s="151">
        <f>J83-F83</f>
        <v/>
      </c>
      <c r="L83" s="152">
        <f>K83*24*60</f>
        <v/>
      </c>
      <c r="M83" s="153">
        <f>K83*24</f>
        <v/>
      </c>
    </row>
    <row r="84" ht="15.6" customFormat="1" customHeight="1" s="163">
      <c r="A84" s="171" t="n">
        <v>82</v>
      </c>
      <c r="B84" s="172" t="n"/>
      <c r="C84" s="123" t="n"/>
      <c r="D84" s="141" t="n"/>
      <c r="E84" s="141" t="n"/>
      <c r="F84" s="141" t="n"/>
      <c r="G84" s="141" t="n"/>
      <c r="H84" s="121" t="n"/>
      <c r="I84" s="141" t="n"/>
      <c r="J84" s="141" t="n"/>
      <c r="K84" s="151">
        <f>J84-F84</f>
        <v/>
      </c>
      <c r="L84" s="152">
        <f>K84*24*60</f>
        <v/>
      </c>
      <c r="M84" s="153">
        <f>K84*24</f>
        <v/>
      </c>
    </row>
    <row r="85" ht="15.6" customFormat="1" customHeight="1" s="163">
      <c r="A85" s="171" t="n">
        <v>83</v>
      </c>
      <c r="B85" s="172" t="n"/>
      <c r="C85" s="123" t="n"/>
      <c r="D85" s="141" t="n"/>
      <c r="E85" s="141" t="n"/>
      <c r="F85" s="141" t="n"/>
      <c r="G85" s="141" t="n"/>
      <c r="H85" s="121" t="n"/>
      <c r="I85" s="141" t="n"/>
      <c r="J85" s="141" t="n"/>
      <c r="K85" s="151">
        <f>J85-F85</f>
        <v/>
      </c>
      <c r="L85" s="152">
        <f>K85*24*60</f>
        <v/>
      </c>
      <c r="M85" s="153">
        <f>K85*24</f>
        <v/>
      </c>
    </row>
    <row r="86" ht="15.6" customFormat="1" customHeight="1" s="163">
      <c r="A86" s="171" t="n">
        <v>84</v>
      </c>
      <c r="B86" s="172" t="n"/>
      <c r="C86" s="123" t="n"/>
      <c r="D86" s="141" t="n"/>
      <c r="E86" s="141" t="n"/>
      <c r="F86" s="141" t="n"/>
      <c r="G86" s="141" t="n"/>
      <c r="H86" s="121" t="n"/>
      <c r="I86" s="141" t="n"/>
      <c r="J86" s="141" t="n"/>
      <c r="K86" s="151">
        <f>J86-F86</f>
        <v/>
      </c>
      <c r="L86" s="152">
        <f>K86*24*60</f>
        <v/>
      </c>
      <c r="M86" s="153">
        <f>K86*24</f>
        <v/>
      </c>
    </row>
    <row r="87" ht="15.6" customFormat="1" customHeight="1" s="163">
      <c r="A87" s="171" t="n">
        <v>85</v>
      </c>
      <c r="B87" s="172" t="n"/>
      <c r="C87" s="123" t="n"/>
      <c r="D87" s="141" t="n"/>
      <c r="E87" s="141" t="n"/>
      <c r="F87" s="141" t="n"/>
      <c r="G87" s="141" t="n"/>
      <c r="H87" s="121" t="n"/>
      <c r="I87" s="141" t="n"/>
      <c r="J87" s="141" t="n"/>
      <c r="K87" s="151">
        <f>J87-F87</f>
        <v/>
      </c>
      <c r="L87" s="152">
        <f>K87*24*60</f>
        <v/>
      </c>
      <c r="M87" s="153">
        <f>K87*24</f>
        <v/>
      </c>
    </row>
    <row r="88" ht="15.6" customFormat="1" customHeight="1" s="163">
      <c r="A88" s="171" t="n">
        <v>86</v>
      </c>
      <c r="B88" s="172" t="n"/>
      <c r="C88" s="123" t="n"/>
      <c r="D88" s="141" t="n"/>
      <c r="E88" s="141" t="n"/>
      <c r="F88" s="141" t="n"/>
      <c r="G88" s="141" t="n"/>
      <c r="H88" s="121" t="n"/>
      <c r="I88" s="141" t="n"/>
      <c r="J88" s="141" t="n"/>
      <c r="K88" s="151">
        <f>J88-F88</f>
        <v/>
      </c>
      <c r="L88" s="152">
        <f>K88*24*60</f>
        <v/>
      </c>
      <c r="M88" s="153">
        <f>K88*24</f>
        <v/>
      </c>
    </row>
    <row r="89" ht="15.6" customFormat="1" customHeight="1" s="163">
      <c r="A89" s="171" t="n">
        <v>87</v>
      </c>
      <c r="B89" s="172" t="n"/>
      <c r="C89" s="123" t="n"/>
      <c r="D89" s="141" t="n"/>
      <c r="E89" s="141" t="n"/>
      <c r="F89" s="141" t="n"/>
      <c r="G89" s="141" t="n"/>
      <c r="H89" s="121" t="n"/>
      <c r="I89" s="141" t="n"/>
      <c r="J89" s="141" t="n"/>
      <c r="K89" s="151">
        <f>J89-F89</f>
        <v/>
      </c>
      <c r="L89" s="152">
        <f>K89*24*60</f>
        <v/>
      </c>
      <c r="M89" s="153">
        <f>K89*24</f>
        <v/>
      </c>
    </row>
    <row r="90" ht="15.6" customFormat="1" customHeight="1" s="163">
      <c r="A90" s="171" t="n">
        <v>88</v>
      </c>
      <c r="B90" s="172" t="n"/>
      <c r="C90" s="123" t="n"/>
      <c r="D90" s="141" t="n"/>
      <c r="E90" s="141" t="n"/>
      <c r="F90" s="141" t="n"/>
      <c r="G90" s="141" t="n"/>
      <c r="H90" s="121" t="n"/>
      <c r="I90" s="141" t="n"/>
      <c r="J90" s="141" t="n"/>
      <c r="K90" s="151">
        <f>J90-F90</f>
        <v/>
      </c>
      <c r="L90" s="152">
        <f>K90*24*60</f>
        <v/>
      </c>
      <c r="M90" s="153">
        <f>K90*24</f>
        <v/>
      </c>
    </row>
    <row r="91" ht="15.6" customFormat="1" customHeight="1" s="163">
      <c r="A91" s="171" t="n">
        <v>89</v>
      </c>
      <c r="B91" s="172" t="n"/>
      <c r="C91" s="123" t="n"/>
      <c r="D91" s="141" t="n"/>
      <c r="E91" s="141" t="n"/>
      <c r="F91" s="141" t="n"/>
      <c r="G91" s="141" t="n"/>
      <c r="H91" s="121" t="n"/>
      <c r="I91" s="141" t="n"/>
      <c r="J91" s="141" t="n"/>
      <c r="K91" s="151">
        <f>J91-F91</f>
        <v/>
      </c>
      <c r="L91" s="152">
        <f>K91*24*60</f>
        <v/>
      </c>
      <c r="M91" s="153">
        <f>K91*24</f>
        <v/>
      </c>
    </row>
    <row r="92" ht="15.6" customFormat="1" customHeight="1" s="163">
      <c r="A92" s="171" t="n">
        <v>90</v>
      </c>
      <c r="B92" s="172" t="n"/>
      <c r="C92" s="123" t="n"/>
      <c r="D92" s="141" t="n"/>
      <c r="E92" s="141" t="n"/>
      <c r="F92" s="141" t="n"/>
      <c r="G92" s="141" t="n"/>
      <c r="H92" s="121" t="n"/>
      <c r="I92" s="141" t="n"/>
      <c r="J92" s="141" t="n"/>
      <c r="K92" s="151">
        <f>J92-F92</f>
        <v/>
      </c>
      <c r="L92" s="152">
        <f>K92*24*60</f>
        <v/>
      </c>
      <c r="M92" s="153">
        <f>K92*24</f>
        <v/>
      </c>
    </row>
    <row r="93" ht="15.6" customFormat="1" customHeight="1" s="163">
      <c r="A93" s="171" t="n">
        <v>91</v>
      </c>
      <c r="B93" s="172" t="n"/>
      <c r="C93" s="123" t="n"/>
      <c r="D93" s="141" t="n"/>
      <c r="E93" s="141" t="n"/>
      <c r="F93" s="141" t="n"/>
      <c r="G93" s="141" t="n"/>
      <c r="H93" s="121" t="n"/>
      <c r="I93" s="141" t="n"/>
      <c r="J93" s="141" t="n"/>
      <c r="K93" s="151">
        <f>J93-F93</f>
        <v/>
      </c>
      <c r="L93" s="152">
        <f>K93*24*60</f>
        <v/>
      </c>
      <c r="M93" s="153">
        <f>K93*24</f>
        <v/>
      </c>
    </row>
    <row r="94" ht="15.6" customFormat="1" customHeight="1" s="163">
      <c r="A94" s="171" t="n">
        <v>92</v>
      </c>
      <c r="B94" s="172" t="n"/>
      <c r="C94" s="123" t="n"/>
      <c r="D94" s="141" t="n"/>
      <c r="E94" s="141" t="n"/>
      <c r="F94" s="141" t="n"/>
      <c r="G94" s="141" t="n"/>
      <c r="H94" s="121" t="n"/>
      <c r="I94" s="141" t="n"/>
      <c r="J94" s="141" t="n"/>
      <c r="K94" s="151">
        <f>J94-F94</f>
        <v/>
      </c>
      <c r="L94" s="152">
        <f>K94*24*60</f>
        <v/>
      </c>
      <c r="M94" s="153">
        <f>K94*24</f>
        <v/>
      </c>
    </row>
    <row r="95" ht="15.6" customFormat="1" customHeight="1" s="163">
      <c r="A95" s="171" t="n">
        <v>93</v>
      </c>
      <c r="B95" s="172" t="n"/>
      <c r="C95" s="123" t="n"/>
      <c r="D95" s="141" t="n"/>
      <c r="E95" s="141" t="n"/>
      <c r="F95" s="141" t="n"/>
      <c r="G95" s="141" t="n"/>
      <c r="H95" s="121" t="n"/>
      <c r="I95" s="141" t="n"/>
      <c r="J95" s="141" t="n"/>
      <c r="K95" s="151">
        <f>J95-F95</f>
        <v/>
      </c>
      <c r="L95" s="152">
        <f>K95*24*60</f>
        <v/>
      </c>
      <c r="M95" s="153">
        <f>K95*24</f>
        <v/>
      </c>
    </row>
    <row r="96" ht="15.6" customFormat="1" customHeight="1" s="163">
      <c r="A96" s="171" t="n">
        <v>94</v>
      </c>
      <c r="B96" s="172" t="n"/>
      <c r="C96" s="123" t="n"/>
      <c r="D96" s="141" t="n"/>
      <c r="E96" s="141" t="n"/>
      <c r="F96" s="141" t="n"/>
      <c r="G96" s="141" t="n"/>
      <c r="H96" s="121" t="n"/>
      <c r="I96" s="141" t="n"/>
      <c r="J96" s="141" t="n"/>
      <c r="K96" s="151">
        <f>J96-F96</f>
        <v/>
      </c>
      <c r="L96" s="152">
        <f>K96*24*60</f>
        <v/>
      </c>
      <c r="M96" s="153">
        <f>K96*24</f>
        <v/>
      </c>
    </row>
    <row r="97" ht="15.6" customFormat="1" customHeight="1" s="163">
      <c r="A97" s="171" t="n">
        <v>95</v>
      </c>
      <c r="B97" s="172" t="n"/>
      <c r="C97" s="123" t="n"/>
      <c r="D97" s="141" t="n"/>
      <c r="E97" s="141" t="n"/>
      <c r="F97" s="141" t="n"/>
      <c r="G97" s="141" t="n"/>
      <c r="H97" s="121" t="n"/>
      <c r="I97" s="141" t="n"/>
      <c r="J97" s="141" t="n"/>
      <c r="K97" s="151">
        <f>J97-F97</f>
        <v/>
      </c>
      <c r="L97" s="152">
        <f>K97*24*60</f>
        <v/>
      </c>
      <c r="M97" s="153">
        <f>K97*24</f>
        <v/>
      </c>
    </row>
    <row r="98" ht="15.6" customFormat="1" customHeight="1" s="163">
      <c r="A98" s="171" t="n">
        <v>96</v>
      </c>
      <c r="B98" s="172" t="n"/>
      <c r="C98" s="123" t="n"/>
      <c r="D98" s="141" t="n"/>
      <c r="E98" s="141" t="n"/>
      <c r="F98" s="141" t="n"/>
      <c r="G98" s="141" t="n"/>
      <c r="H98" s="121" t="n"/>
      <c r="I98" s="141" t="n"/>
      <c r="J98" s="141" t="n"/>
      <c r="K98" s="151">
        <f>J98-F98</f>
        <v/>
      </c>
      <c r="L98" s="152">
        <f>K98*24*60</f>
        <v/>
      </c>
      <c r="M98" s="153">
        <f>K98*24</f>
        <v/>
      </c>
    </row>
    <row r="99" ht="15.6" customFormat="1" customHeight="1" s="163">
      <c r="A99" s="171" t="n">
        <v>97</v>
      </c>
      <c r="B99" s="172" t="n"/>
      <c r="C99" s="123" t="n"/>
      <c r="D99" s="141" t="n"/>
      <c r="E99" s="141" t="n"/>
      <c r="F99" s="141" t="n"/>
      <c r="G99" s="141" t="n"/>
      <c r="H99" s="121" t="n"/>
      <c r="I99" s="141" t="n"/>
      <c r="J99" s="141" t="n"/>
      <c r="K99" s="151">
        <f>J99-F99</f>
        <v/>
      </c>
      <c r="L99" s="152">
        <f>K99*24*60</f>
        <v/>
      </c>
      <c r="M99" s="153">
        <f>K99*24</f>
        <v/>
      </c>
    </row>
    <row r="100" ht="15.6" customFormat="1" customHeight="1" s="163">
      <c r="A100" s="171" t="n">
        <v>98</v>
      </c>
      <c r="B100" s="172" t="n"/>
      <c r="C100" s="123" t="n"/>
      <c r="D100" s="141" t="n"/>
      <c r="E100" s="141" t="n"/>
      <c r="F100" s="141" t="n"/>
      <c r="G100" s="141" t="n"/>
      <c r="H100" s="121" t="n"/>
      <c r="I100" s="141" t="n"/>
      <c r="J100" s="141" t="n"/>
      <c r="K100" s="151">
        <f>J100-F100</f>
        <v/>
      </c>
      <c r="L100" s="152">
        <f>K100*24*60</f>
        <v/>
      </c>
      <c r="M100" s="153">
        <f>K100*24</f>
        <v/>
      </c>
    </row>
    <row r="101" ht="15.6" customHeight="1">
      <c r="C101" s="123" t="n"/>
      <c r="H101" s="121" t="n"/>
    </row>
    <row r="102" ht="15.6" customHeight="1">
      <c r="C102" s="123" t="n"/>
      <c r="H102" s="121" t="n"/>
    </row>
    <row r="103" ht="15.6" customHeight="1">
      <c r="C103" s="123" t="n"/>
      <c r="H103" s="121" t="n"/>
    </row>
    <row r="104" ht="15.6" customHeight="1">
      <c r="C104" s="123" t="n"/>
      <c r="H104" s="121" t="n"/>
    </row>
    <row r="105" ht="15.6" customHeight="1">
      <c r="C105" s="123" t="n"/>
      <c r="H105" s="121" t="n"/>
    </row>
    <row r="106" ht="15.6" customHeight="1">
      <c r="C106" s="123" t="n"/>
      <c r="H106" s="121" t="n"/>
    </row>
    <row r="107" ht="15.6" customHeight="1">
      <c r="C107" s="123" t="n"/>
      <c r="H107" s="121" t="n"/>
    </row>
    <row r="108" ht="15.6" customHeight="1">
      <c r="C108" s="123" t="n"/>
      <c r="H108" s="121" t="n"/>
    </row>
    <row r="109" ht="15.6" customHeight="1">
      <c r="C109" s="123" t="n"/>
      <c r="H109" s="121" t="n"/>
    </row>
    <row r="110" ht="15.6" customHeight="1">
      <c r="C110" s="123" t="n"/>
      <c r="H110" s="121" t="n"/>
    </row>
    <row r="111" ht="15.6" customHeight="1">
      <c r="C111" s="123" t="n"/>
    </row>
    <row r="1046615">
      <c r="H1046615" s="100" t="n"/>
    </row>
  </sheetData>
  <mergeCells count="1">
    <mergeCell ref="A1:M1"/>
  </mergeCells>
  <dataValidations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codeName="Hoja3">
    <outlinePr summaryBelow="1" summaryRight="1"/>
    <pageSetUpPr/>
  </sheetPr>
  <dimension ref="A1:M1046615"/>
  <sheetViews>
    <sheetView zoomScale="80" zoomScaleNormal="80" workbookViewId="0">
      <pane ySplit="2" topLeftCell="A3" activePane="bottomLeft" state="frozen"/>
      <selection pane="bottomLeft" activeCell="B3" sqref="B3"/>
    </sheetView>
  </sheetViews>
  <sheetFormatPr baseColWidth="8" defaultColWidth="0" defaultRowHeight="14.45"/>
  <cols>
    <col width="5.28515625" bestFit="1" customWidth="1" min="1" max="1"/>
    <col width="58.42578125" customWidth="1" min="2" max="2"/>
    <col width="43.5703125" bestFit="1" customWidth="1" style="7" min="3" max="3"/>
    <col width="17.7109375" bestFit="1" customWidth="1" min="4" max="4"/>
    <col width="22.42578125" customWidth="1" min="5" max="5"/>
    <col width="17.5703125" bestFit="1" customWidth="1" min="6" max="6"/>
    <col width="40.5703125" customWidth="1" min="7" max="7"/>
    <col width="26.140625" bestFit="1" customWidth="1" style="7" min="8" max="8"/>
    <col width="27.140625" customWidth="1" min="9" max="9"/>
    <col width="23" bestFit="1" customWidth="1" min="10" max="10"/>
    <col width="13.85546875" bestFit="1" customWidth="1" min="11" max="11"/>
    <col width="16.42578125" bestFit="1" customWidth="1" min="12" max="12"/>
    <col width="17" bestFit="1" customWidth="1" min="13" max="13"/>
    <col width="2.7109375" customWidth="1" min="14" max="14"/>
    <col hidden="1" width="11.42578125" customWidth="1" min="15" max="16"/>
    <col hidden="1" min="17" max="18"/>
    <col hidden="1" width="11.42578125" customWidth="1" min="19" max="16384"/>
  </cols>
  <sheetData>
    <row r="1" ht="46.5" customFormat="1" customHeight="1" s="167" thickBot="1">
      <c r="A1" s="319" t="inlineStr">
        <is>
          <t>Planilla Control de Eventos Seguridad Informática S@MI</t>
        </is>
      </c>
      <c r="B1" s="359" t="n"/>
      <c r="C1" s="359" t="n"/>
      <c r="D1" s="359" t="n"/>
      <c r="E1" s="359" t="n"/>
      <c r="F1" s="359" t="n"/>
      <c r="G1" s="359" t="n"/>
      <c r="H1" s="359" t="n"/>
      <c r="I1" s="359" t="n"/>
      <c r="J1" s="359" t="n"/>
      <c r="K1" s="359" t="n"/>
      <c r="L1" s="359" t="n"/>
      <c r="M1" s="359" t="n"/>
    </row>
    <row r="2" ht="45" customFormat="1" customHeight="1" s="161" thickTop="1">
      <c r="A2" s="120" t="inlineStr">
        <is>
          <t>Item</t>
        </is>
      </c>
      <c r="B2" s="120" t="inlineStr">
        <is>
          <t>Dispositivo</t>
        </is>
      </c>
      <c r="C2" s="120" t="inlineStr">
        <is>
          <t>Analista</t>
        </is>
      </c>
      <c r="D2" s="120" t="inlineStr">
        <is>
          <t>Numero de Ticket</t>
        </is>
      </c>
      <c r="E2" s="120" t="inlineStr">
        <is>
          <t>Descripcion del Evento</t>
        </is>
      </c>
      <c r="F2" s="120" t="inlineStr">
        <is>
          <t xml:space="preserve">Fecha/Hora Inicio Evento </t>
        </is>
      </c>
      <c r="G2" s="120" t="inlineStr">
        <is>
          <t>Causa</t>
        </is>
      </c>
      <c r="H2" s="120" t="inlineStr">
        <is>
          <t>Areas Involucradas</t>
        </is>
      </c>
      <c r="I2" s="120" t="inlineStr">
        <is>
          <t>Solucion</t>
        </is>
      </c>
      <c r="J2" s="120" t="inlineStr">
        <is>
          <t xml:space="preserve">Fecha/Hora Fin Evento </t>
        </is>
      </c>
      <c r="K2" s="120" t="inlineStr">
        <is>
          <t>Tiempo Total</t>
        </is>
      </c>
      <c r="L2" s="120" t="inlineStr">
        <is>
          <t>Tiempo Minutos</t>
        </is>
      </c>
      <c r="M2" s="120" t="inlineStr">
        <is>
          <t>Tiempo en Horas</t>
        </is>
      </c>
    </row>
    <row r="3" ht="15.6" customFormat="1" customHeight="1" s="163">
      <c r="A3" s="171" t="n">
        <v>1</v>
      </c>
      <c r="B3" s="2" t="inlineStr">
        <is>
          <t>Fortinet FortiGate 400F (ALCALDIA MEDELLIN)</t>
        </is>
      </c>
      <c r="C3" s="123" t="inlineStr">
        <is>
          <t>Julián David Cataño Sierra / 06:00 - 14:00</t>
        </is>
      </c>
      <c r="D3" s="18" t="inlineStr">
        <is>
          <t>IM-8177-6-1662</t>
        </is>
      </c>
      <c r="E3" s="2" t="n"/>
      <c r="F3" s="136" t="n">
        <v>46204.34375</v>
      </c>
      <c r="G3" s="173" t="inlineStr">
        <is>
          <t>Bloqueo de equipo Fortigate</t>
        </is>
      </c>
      <c r="H3" s="121" t="inlineStr">
        <is>
          <t>SEGURIDAD INFORMATICA</t>
        </is>
      </c>
      <c r="I3" s="173" t="inlineStr">
        <is>
          <t>Se identificó un comportamiento sobre el motor IPS del FortiGate, generando bloqueos intermitentes del servicio. Como acción de mitigación se realizó un reinicio controlado del equipo, restableciendo la operación y validando posteriormente la correcta funcionalidad y flujo de tráfico, con afectación mínima al cliente</t>
        </is>
      </c>
      <c r="J3" s="136" t="n">
        <v>46204.36666666667</v>
      </c>
      <c r="K3" s="151">
        <f>J3-F3</f>
        <v/>
      </c>
      <c r="L3" s="153">
        <f>K3*24*60</f>
        <v/>
      </c>
      <c r="M3" s="153">
        <f>K3*24</f>
        <v/>
      </c>
    </row>
    <row r="4" ht="15.6" customFormat="1" customHeight="1" s="163">
      <c r="A4" s="171" t="n">
        <v>2</v>
      </c>
      <c r="B4" s="2" t="inlineStr">
        <is>
          <t>CISCO ISE (VPN's)</t>
        </is>
      </c>
      <c r="C4" s="123" t="inlineStr">
        <is>
          <t>Julián David Cataño Sierra / 06:00 - 14:00</t>
        </is>
      </c>
      <c r="D4" s="18" t="inlineStr">
        <is>
          <t>IM-8183-6-1665</t>
        </is>
      </c>
      <c r="E4" s="2" t="n"/>
      <c r="F4" s="136" t="n">
        <v>46204.34375</v>
      </c>
      <c r="G4" s="173" t="inlineStr">
        <is>
          <t>Bug de Cisco ISE en la postura</t>
        </is>
      </c>
      <c r="H4" s="121" t="inlineStr">
        <is>
          <t>SEGURIDAD INFORMATICA</t>
        </is>
      </c>
      <c r="I4" s="173" t="inlineStr">
        <is>
          <t>El incidente IM-8183-6-1665 se originó por el bug CSCwv00274 de Cisco ISE, asociado a la actualización del agente Trend Micro Apex One v14.0.20842, la cual modificó el identificador utilizado durante las validaciones de Posture, impidiendo el reconocimiento correcto del antivirus instalado.
Se realizaron sesiones técnicas con el proveedor y Cisco para identificar la causa y descartar problemas asociados a la instalación. Como resultado, se confirmó que el inconveniente correspondía a una falla del producto y no a una configuración de la infraestructura.
Mediante el requerimiento Cisco RE-6038, se aplicó una corrección en Cisco ISE para reconocer el nuevo identificador de Apex One, mientras el fabricante trabajo en una solución definitiva. No aplica disponibilidad ya que esta actividad estaba programada con el cliente en un ambiente controlado con un grupo menor de 10 usuarios.</t>
        </is>
      </c>
      <c r="J4" s="136" t="n">
        <v>46204.69097222222</v>
      </c>
      <c r="K4" s="151">
        <f>J4-F4</f>
        <v/>
      </c>
      <c r="L4" s="153">
        <f>K4*24*60</f>
        <v/>
      </c>
      <c r="M4" s="153">
        <f>K4*24</f>
        <v/>
      </c>
    </row>
    <row r="5" ht="15.6" customFormat="1" customHeight="1" s="163">
      <c r="A5" s="171" t="n">
        <v>3</v>
      </c>
      <c r="B5" s="2" t="n"/>
      <c r="C5" s="123" t="n"/>
      <c r="D5" s="18" t="n"/>
      <c r="E5" s="2" t="n"/>
      <c r="F5" s="136" t="n"/>
      <c r="G5" s="2" t="n"/>
      <c r="H5" s="121" t="n"/>
      <c r="I5" s="239" t="n"/>
      <c r="J5" s="136" t="n"/>
      <c r="K5" s="151">
        <f>J5-F5</f>
        <v/>
      </c>
      <c r="L5" s="153">
        <f>K5*24*60</f>
        <v/>
      </c>
      <c r="M5" s="153">
        <f>K5*24</f>
        <v/>
      </c>
    </row>
    <row r="6" ht="15.6" customFormat="1" customHeight="1" s="163">
      <c r="A6" s="171" t="n">
        <v>4</v>
      </c>
      <c r="B6" s="131" t="n"/>
      <c r="C6" s="123" t="n"/>
      <c r="D6" s="157" t="n"/>
      <c r="E6" s="150" t="n"/>
      <c r="F6" s="176" t="n"/>
      <c r="G6" s="173" t="n"/>
      <c r="H6" s="121" t="n"/>
      <c r="I6" s="141" t="n"/>
      <c r="J6" s="177" t="n"/>
      <c r="K6" s="151">
        <f>J6-F6</f>
        <v/>
      </c>
      <c r="L6" s="153">
        <f>K6*24*60</f>
        <v/>
      </c>
      <c r="M6" s="153">
        <f>K6*24</f>
        <v/>
      </c>
    </row>
    <row r="7" ht="15.6" customFormat="1" customHeight="1" s="163">
      <c r="A7" s="171" t="n">
        <v>5</v>
      </c>
      <c r="B7" s="141" t="n"/>
      <c r="C7" s="123" t="n"/>
      <c r="D7" s="157" t="n"/>
      <c r="E7" s="150" t="n"/>
      <c r="F7" s="176" t="n"/>
      <c r="G7" s="135" t="n"/>
      <c r="H7" s="121" t="n"/>
      <c r="J7" s="176" t="n"/>
      <c r="K7" s="151">
        <f>J7-F7</f>
        <v/>
      </c>
      <c r="L7" s="153">
        <f>K7*24*60</f>
        <v/>
      </c>
      <c r="M7" s="153">
        <f>K7*24</f>
        <v/>
      </c>
    </row>
    <row r="8" ht="15.6" customFormat="1" customHeight="1" s="163">
      <c r="A8" s="175" t="n">
        <v>6</v>
      </c>
      <c r="B8" s="141" t="n"/>
      <c r="C8" s="123" t="n"/>
      <c r="D8" s="130" t="n"/>
      <c r="E8" s="141" t="n"/>
      <c r="F8" s="170" t="n"/>
      <c r="G8" s="141" t="n"/>
      <c r="H8" s="121" t="n"/>
      <c r="I8" s="141" t="n"/>
      <c r="J8" s="174" t="n"/>
      <c r="K8" s="151">
        <f>J8-F8</f>
        <v/>
      </c>
      <c r="L8" s="153">
        <f>K8*24*60</f>
        <v/>
      </c>
      <c r="M8" s="153">
        <f>K8*24</f>
        <v/>
      </c>
    </row>
    <row r="9" ht="15.6" customFormat="1" customHeight="1" s="163">
      <c r="A9" s="171" t="n">
        <v>7</v>
      </c>
      <c r="B9" s="141" t="n"/>
      <c r="C9" s="123" t="n"/>
      <c r="D9" s="130" t="n"/>
      <c r="E9" s="141" t="n"/>
      <c r="F9" s="170" t="n"/>
      <c r="G9" s="141" t="n"/>
      <c r="H9" s="121" t="n"/>
      <c r="I9" s="141" t="n"/>
      <c r="J9" s="174" t="n"/>
      <c r="K9" s="151">
        <f>J9-F9</f>
        <v/>
      </c>
      <c r="L9" s="153">
        <f>K9*24*60</f>
        <v/>
      </c>
      <c r="M9" s="153">
        <f>K9*24</f>
        <v/>
      </c>
    </row>
    <row r="10" ht="15.6" customFormat="1" customHeight="1" s="163">
      <c r="A10" s="171" t="n">
        <v>8</v>
      </c>
      <c r="B10" s="141" t="n"/>
      <c r="C10" s="123" t="n"/>
      <c r="D10" s="130" t="n"/>
      <c r="E10" s="141" t="n"/>
      <c r="F10" s="170" t="n"/>
      <c r="G10" s="141" t="n"/>
      <c r="H10" s="121" t="n"/>
      <c r="I10" s="141" t="n"/>
      <c r="J10" s="174" t="n"/>
      <c r="K10" s="151">
        <f>J10-F10</f>
        <v/>
      </c>
      <c r="L10" s="153">
        <f>K10*24*60</f>
        <v/>
      </c>
      <c r="M10" s="153">
        <f>K10*24</f>
        <v/>
      </c>
    </row>
    <row r="11" ht="15.6" customFormat="1" customHeight="1" s="163">
      <c r="A11" s="171" t="n">
        <v>9</v>
      </c>
      <c r="B11" s="141" t="n"/>
      <c r="C11" s="123" t="n"/>
      <c r="D11" s="130" t="n"/>
      <c r="E11" s="141" t="n"/>
      <c r="F11" s="170" t="n"/>
      <c r="G11" s="130" t="n"/>
      <c r="H11" s="121" t="n"/>
      <c r="I11" s="170" t="n"/>
      <c r="J11" s="174" t="n"/>
      <c r="K11" s="151">
        <f>J11-F11</f>
        <v/>
      </c>
      <c r="L11" s="153">
        <f>K11*24*60</f>
        <v/>
      </c>
      <c r="M11" s="153">
        <f>K11*24</f>
        <v/>
      </c>
    </row>
    <row r="12" ht="12" customFormat="1" customHeight="1" s="163">
      <c r="A12" s="175" t="n">
        <v>10</v>
      </c>
      <c r="B12" s="141" t="n"/>
      <c r="C12" s="123" t="n"/>
      <c r="D12" s="130" t="n"/>
      <c r="E12" s="141" t="n"/>
      <c r="F12" s="170" t="n"/>
      <c r="G12" s="18" t="n"/>
      <c r="H12" s="121" t="n"/>
      <c r="I12" s="170" t="n"/>
      <c r="J12" s="174" t="n"/>
      <c r="K12" s="151">
        <f>J12-F12</f>
        <v/>
      </c>
      <c r="L12" s="153">
        <f>K12*24*60</f>
        <v/>
      </c>
      <c r="M12" s="153">
        <f>K12*24</f>
        <v/>
      </c>
    </row>
    <row r="13" ht="15.6" customFormat="1" customHeight="1" s="163">
      <c r="A13" s="171" t="n">
        <v>11</v>
      </c>
      <c r="B13" s="141" t="n"/>
      <c r="C13" s="123" t="n"/>
      <c r="D13" s="130" t="n"/>
      <c r="E13" s="141" t="n"/>
      <c r="F13" s="170" t="n"/>
      <c r="H13" s="121" t="n"/>
      <c r="I13" s="139" t="n"/>
      <c r="K13" s="151">
        <f>J13-F13</f>
        <v/>
      </c>
      <c r="L13" s="153">
        <f>K13*24*60</f>
        <v/>
      </c>
      <c r="M13" s="153">
        <f>K13*24</f>
        <v/>
      </c>
    </row>
    <row r="14" ht="15.6" customFormat="1" customHeight="1" s="163">
      <c r="A14" s="171" t="n">
        <v>12</v>
      </c>
      <c r="B14" s="141" t="n"/>
      <c r="C14" s="123" t="n"/>
      <c r="D14" s="130" t="n"/>
      <c r="E14" s="141" t="n"/>
      <c r="F14" s="170" t="n"/>
      <c r="G14" s="18" t="n"/>
      <c r="H14" s="121" t="n"/>
      <c r="I14" s="170" t="n"/>
      <c r="J14" s="174" t="n"/>
      <c r="K14" s="151">
        <f>J14-F14</f>
        <v/>
      </c>
      <c r="L14" s="153">
        <f>K14*24*60</f>
        <v/>
      </c>
      <c r="M14" s="153">
        <f>K14*24</f>
        <v/>
      </c>
    </row>
    <row r="15" ht="15.6" customFormat="1" customHeight="1" s="163">
      <c r="A15" s="171" t="n">
        <v>13</v>
      </c>
      <c r="B15" s="141" t="n"/>
      <c r="C15" s="123" t="n"/>
      <c r="D15" s="130" t="n"/>
      <c r="E15" s="141" t="n"/>
      <c r="F15" s="170" t="n"/>
      <c r="G15" s="141" t="n"/>
      <c r="H15" s="121" t="n"/>
      <c r="I15" s="141" t="n"/>
      <c r="J15" s="174" t="n"/>
      <c r="K15" s="151">
        <f>J15-F15</f>
        <v/>
      </c>
      <c r="L15" s="153">
        <f>K15*24*60</f>
        <v/>
      </c>
      <c r="M15" s="153">
        <f>K15*24</f>
        <v/>
      </c>
    </row>
    <row r="16" ht="15.6" customFormat="1" customHeight="1" s="163">
      <c r="A16" s="175" t="n">
        <v>14</v>
      </c>
      <c r="B16" s="141" t="n"/>
      <c r="C16" s="123" t="n"/>
      <c r="D16" s="141" t="n"/>
      <c r="E16" s="141" t="n"/>
      <c r="F16" s="170" t="n"/>
      <c r="G16" s="141" t="n"/>
      <c r="H16" s="121" t="n"/>
      <c r="I16" s="141" t="n"/>
      <c r="J16" s="174" t="n"/>
      <c r="K16" s="151">
        <f>J16-F16</f>
        <v/>
      </c>
      <c r="L16" s="153">
        <f>K16*24*60</f>
        <v/>
      </c>
      <c r="M16" s="153">
        <f>K16*24</f>
        <v/>
      </c>
    </row>
    <row r="17" ht="15.6" customFormat="1" customHeight="1" s="163">
      <c r="A17" s="171" t="n">
        <v>15</v>
      </c>
      <c r="B17" s="141" t="n"/>
      <c r="C17" s="123" t="n"/>
      <c r="D17" s="141" t="n"/>
      <c r="E17" s="141" t="n"/>
      <c r="F17" s="170" t="n"/>
      <c r="G17" s="141" t="n"/>
      <c r="H17" s="121" t="n"/>
      <c r="I17" s="141" t="n"/>
      <c r="J17" s="174" t="n"/>
      <c r="K17" s="151">
        <f>J17-F17</f>
        <v/>
      </c>
      <c r="L17" s="153">
        <f>K17*24*60</f>
        <v/>
      </c>
      <c r="M17" s="153">
        <f>K17*24</f>
        <v/>
      </c>
    </row>
    <row r="18" ht="15.6" customFormat="1" customHeight="1" s="163">
      <c r="A18" s="171" t="n">
        <v>16</v>
      </c>
      <c r="B18" s="141" t="n"/>
      <c r="C18" s="123" t="n"/>
      <c r="D18" s="141" t="n"/>
      <c r="E18" s="141" t="n"/>
      <c r="F18" s="170" t="n"/>
      <c r="G18" s="130" t="n"/>
      <c r="H18" s="121" t="n"/>
      <c r="I18" s="170" t="n"/>
      <c r="J18" s="174" t="n"/>
      <c r="K18" s="151">
        <f>J18-F18</f>
        <v/>
      </c>
      <c r="L18" s="153">
        <f>K18*24*60</f>
        <v/>
      </c>
      <c r="M18" s="153">
        <f>K18*24</f>
        <v/>
      </c>
    </row>
    <row r="19" ht="15.6" customFormat="1" customHeight="1" s="163">
      <c r="A19" s="171" t="n">
        <v>17</v>
      </c>
      <c r="B19" s="141" t="n"/>
      <c r="C19" s="123" t="n"/>
      <c r="D19" s="141" t="n"/>
      <c r="E19" s="141" t="n"/>
      <c r="F19" s="170" t="n"/>
      <c r="G19" s="18" t="n"/>
      <c r="H19" s="121" t="n"/>
      <c r="I19" s="170" t="n"/>
      <c r="J19" s="174" t="n"/>
      <c r="K19" s="151">
        <f>J19-F19</f>
        <v/>
      </c>
      <c r="L19" s="153">
        <f>K19*24*60</f>
        <v/>
      </c>
      <c r="M19" s="153">
        <f>K19*24</f>
        <v/>
      </c>
    </row>
    <row r="20" ht="15.6" customFormat="1" customHeight="1" s="163">
      <c r="A20" s="175" t="n">
        <v>18</v>
      </c>
      <c r="B20" s="141" t="n"/>
      <c r="C20" s="123" t="n"/>
      <c r="D20" s="141" t="n"/>
      <c r="E20" s="141" t="n"/>
      <c r="F20" s="170" t="n"/>
      <c r="G20" s="18" t="n"/>
      <c r="H20" s="121" t="n"/>
      <c r="I20" s="170" t="n"/>
      <c r="J20" s="174" t="n"/>
      <c r="K20" s="151">
        <f>J20-F20</f>
        <v/>
      </c>
      <c r="L20" s="153">
        <f>K20*24*60</f>
        <v/>
      </c>
      <c r="M20" s="153">
        <f>K20*24</f>
        <v/>
      </c>
    </row>
    <row r="21" ht="15.6" customFormat="1" customHeight="1" s="163">
      <c r="A21" s="171" t="n">
        <v>19</v>
      </c>
      <c r="B21" s="141" t="n"/>
      <c r="C21" s="123" t="n"/>
      <c r="D21" s="141" t="n"/>
      <c r="E21" s="141" t="n"/>
      <c r="F21" s="170" t="n"/>
      <c r="G21" s="18" t="n"/>
      <c r="H21" s="121" t="n"/>
      <c r="I21" s="170" t="n"/>
      <c r="J21" s="174" t="n"/>
      <c r="K21" s="151">
        <f>J21-F21</f>
        <v/>
      </c>
      <c r="L21" s="153">
        <f>K21*24*60</f>
        <v/>
      </c>
      <c r="M21" s="153">
        <f>K21*24</f>
        <v/>
      </c>
    </row>
    <row r="22" ht="15.6" customFormat="1" customHeight="1" s="163">
      <c r="A22" s="171" t="n">
        <v>20</v>
      </c>
      <c r="B22" s="141" t="n"/>
      <c r="C22" s="123" t="n"/>
      <c r="D22" s="141" t="n"/>
      <c r="E22" s="141" t="n"/>
      <c r="F22" s="170" t="n"/>
      <c r="G22" s="141" t="n"/>
      <c r="H22" s="121" t="n"/>
      <c r="I22" s="141" t="n"/>
      <c r="J22" s="174" t="n"/>
      <c r="K22" s="151">
        <f>J22-F22</f>
        <v/>
      </c>
      <c r="L22" s="153">
        <f>K22*24*60</f>
        <v/>
      </c>
      <c r="M22" s="153">
        <f>K22*24</f>
        <v/>
      </c>
    </row>
    <row r="23" ht="15.6" customFormat="1" customHeight="1" s="163">
      <c r="A23" s="171" t="n">
        <v>21</v>
      </c>
      <c r="B23" s="141" t="n"/>
      <c r="C23" s="123" t="n"/>
      <c r="D23" s="141" t="n"/>
      <c r="E23" s="141" t="n"/>
      <c r="F23" s="170" t="n"/>
      <c r="G23" s="141" t="n"/>
      <c r="H23" s="121" t="n"/>
      <c r="I23" s="141" t="n"/>
      <c r="J23" s="174" t="n"/>
      <c r="K23" s="151">
        <f>J23-F23</f>
        <v/>
      </c>
      <c r="L23" s="153">
        <f>K23*24*60</f>
        <v/>
      </c>
      <c r="M23" s="153">
        <f>K23*24</f>
        <v/>
      </c>
    </row>
    <row r="24" ht="15.6" customFormat="1" customHeight="1" s="163">
      <c r="A24" s="175" t="n">
        <v>22</v>
      </c>
      <c r="B24" s="141" t="n"/>
      <c r="C24" s="123" t="n"/>
      <c r="D24" s="141" t="n"/>
      <c r="E24" s="141" t="n"/>
      <c r="F24" s="170" t="n"/>
      <c r="G24" s="141" t="n"/>
      <c r="H24" s="121" t="n"/>
      <c r="I24" s="141" t="n"/>
      <c r="J24" s="174" t="n"/>
      <c r="K24" s="151">
        <f>J24-F24</f>
        <v/>
      </c>
      <c r="L24" s="153">
        <f>K24*24*60</f>
        <v/>
      </c>
      <c r="M24" s="153">
        <f>K24*24</f>
        <v/>
      </c>
    </row>
    <row r="25" ht="15.6" customFormat="1" customHeight="1" s="163">
      <c r="A25" s="171" t="n">
        <v>23</v>
      </c>
      <c r="B25" s="141" t="n"/>
      <c r="C25" s="123" t="n"/>
      <c r="D25" s="141" t="n"/>
      <c r="E25" s="141" t="n"/>
      <c r="F25" s="170" t="n"/>
      <c r="G25" s="130" t="n"/>
      <c r="H25" s="121" t="n"/>
      <c r="I25" s="170" t="n"/>
      <c r="J25" s="174" t="n"/>
      <c r="K25" s="151">
        <f>J25-F25</f>
        <v/>
      </c>
      <c r="L25" s="153">
        <f>K25*24*60</f>
        <v/>
      </c>
      <c r="M25" s="153">
        <f>K25*24</f>
        <v/>
      </c>
    </row>
    <row r="26" ht="15.6" customFormat="1" customHeight="1" s="163">
      <c r="A26" s="171" t="n">
        <v>24</v>
      </c>
      <c r="B26" s="141" t="n"/>
      <c r="C26" s="123" t="n"/>
      <c r="D26" s="141" t="n"/>
      <c r="E26" s="141" t="n"/>
      <c r="F26" s="170" t="n"/>
      <c r="G26" s="18" t="n"/>
      <c r="H26" s="121" t="n"/>
      <c r="I26" s="170" t="n"/>
      <c r="J26" s="174" t="n"/>
      <c r="K26" s="151">
        <f>J26-F26</f>
        <v/>
      </c>
      <c r="L26" s="153">
        <f>K26*24*60</f>
        <v/>
      </c>
      <c r="M26" s="153">
        <f>K26*24</f>
        <v/>
      </c>
    </row>
    <row r="27" ht="15.6" customFormat="1" customHeight="1" s="163">
      <c r="A27" s="171" t="n">
        <v>25</v>
      </c>
      <c r="B27" s="141" t="n"/>
      <c r="C27" s="123" t="n"/>
      <c r="D27" s="141" t="n"/>
      <c r="E27" s="141" t="n"/>
      <c r="F27" s="178" t="n"/>
      <c r="G27" s="141" t="n"/>
      <c r="H27" s="121" t="n"/>
      <c r="I27" s="141" t="n"/>
      <c r="J27" s="178" t="n"/>
      <c r="K27" s="151">
        <f>J27-F27</f>
        <v/>
      </c>
      <c r="L27" s="153">
        <f>K27*24*60</f>
        <v/>
      </c>
      <c r="M27" s="153">
        <f>K27*24</f>
        <v/>
      </c>
    </row>
    <row r="28" ht="15.6" customFormat="1" customHeight="1" s="163">
      <c r="A28" s="175" t="n">
        <v>26</v>
      </c>
      <c r="B28" s="141" t="n"/>
      <c r="C28" s="123" t="n"/>
      <c r="D28" s="141" t="n"/>
      <c r="E28" s="141" t="n"/>
      <c r="F28" s="178" t="n"/>
      <c r="G28" s="141" t="n"/>
      <c r="H28" s="121" t="n"/>
      <c r="I28" s="141" t="n"/>
      <c r="J28" s="178" t="n"/>
      <c r="K28" s="151">
        <f>J28-F28</f>
        <v/>
      </c>
      <c r="L28" s="153">
        <f>K28*24*60</f>
        <v/>
      </c>
      <c r="M28" s="153">
        <f>K28*24</f>
        <v/>
      </c>
    </row>
    <row r="29" ht="15.6" customFormat="1" customHeight="1" s="163">
      <c r="A29" s="171" t="n">
        <v>27</v>
      </c>
      <c r="B29" s="141" t="n"/>
      <c r="C29" s="123" t="n"/>
      <c r="D29" s="141" t="n"/>
      <c r="E29" s="141" t="n"/>
      <c r="F29" s="178" t="n"/>
      <c r="G29" s="141" t="n"/>
      <c r="H29" s="121" t="n"/>
      <c r="I29" s="141" t="n"/>
      <c r="J29" s="178" t="n"/>
      <c r="K29" s="151">
        <f>J29-F29</f>
        <v/>
      </c>
      <c r="L29" s="153">
        <f>K29*24*60</f>
        <v/>
      </c>
      <c r="M29" s="153">
        <f>K29*24</f>
        <v/>
      </c>
    </row>
    <row r="30" ht="15.6" customFormat="1" customHeight="1" s="163">
      <c r="A30" s="171" t="n">
        <v>28</v>
      </c>
      <c r="B30" s="141" t="n"/>
      <c r="C30" s="123" t="n"/>
      <c r="D30" s="141" t="n"/>
      <c r="E30" s="141" t="n"/>
      <c r="F30" s="178" t="n"/>
      <c r="G30" s="141" t="n"/>
      <c r="H30" s="121" t="n"/>
      <c r="I30" s="141" t="n"/>
      <c r="J30" s="178" t="n"/>
      <c r="K30" s="151">
        <f>J30-F30</f>
        <v/>
      </c>
      <c r="L30" s="153">
        <f>K30*24*60</f>
        <v/>
      </c>
      <c r="M30" s="153">
        <f>K30*24</f>
        <v/>
      </c>
    </row>
    <row r="31" ht="15.6" customFormat="1" customHeight="1" s="163">
      <c r="A31" s="171" t="n">
        <v>29</v>
      </c>
      <c r="B31" s="141" t="n"/>
      <c r="C31" s="123" t="n"/>
      <c r="D31" s="141" t="n"/>
      <c r="E31" s="141" t="n"/>
      <c r="F31" s="178" t="n"/>
      <c r="G31" s="141" t="n"/>
      <c r="H31" s="121" t="n"/>
      <c r="I31" s="141" t="n"/>
      <c r="J31" s="178" t="n"/>
      <c r="K31" s="151">
        <f>J31-F31</f>
        <v/>
      </c>
      <c r="L31" s="153">
        <f>K31*24*60</f>
        <v/>
      </c>
      <c r="M31" s="153">
        <f>K31*24</f>
        <v/>
      </c>
    </row>
    <row r="32" ht="15.6" customFormat="1" customHeight="1" s="163">
      <c r="A32" s="175" t="n">
        <v>30</v>
      </c>
      <c r="B32" s="141" t="n"/>
      <c r="C32" s="123" t="n"/>
      <c r="D32" s="141" t="n"/>
      <c r="E32" s="141" t="n"/>
      <c r="F32" s="178" t="n"/>
      <c r="G32" s="141" t="n"/>
      <c r="H32" s="121" t="n"/>
      <c r="I32" s="141" t="n"/>
      <c r="J32" s="178" t="n"/>
      <c r="K32" s="151">
        <f>J32-F32</f>
        <v/>
      </c>
      <c r="L32" s="153">
        <f>K32*24*60</f>
        <v/>
      </c>
      <c r="M32" s="153">
        <f>K32*24</f>
        <v/>
      </c>
    </row>
    <row r="33" ht="15.6" customFormat="1" customHeight="1" s="163">
      <c r="A33" s="171" t="n">
        <v>31</v>
      </c>
      <c r="B33" s="141" t="n"/>
      <c r="C33" s="123" t="n"/>
      <c r="D33" s="141" t="n"/>
      <c r="E33" s="141" t="n"/>
      <c r="F33" s="178" t="n"/>
      <c r="G33" s="141" t="n"/>
      <c r="H33" s="121" t="n"/>
      <c r="I33" s="141" t="n"/>
      <c r="J33" s="178" t="n"/>
      <c r="K33" s="151">
        <f>J33-F33</f>
        <v/>
      </c>
      <c r="L33" s="153">
        <f>K33*24*60</f>
        <v/>
      </c>
      <c r="M33" s="153">
        <f>K33*24</f>
        <v/>
      </c>
    </row>
    <row r="34" ht="15.6" customFormat="1" customHeight="1" s="163">
      <c r="A34" s="171" t="n">
        <v>32</v>
      </c>
      <c r="B34" s="141" t="n"/>
      <c r="C34" s="123" t="n"/>
      <c r="D34" s="141" t="n"/>
      <c r="E34" s="141" t="n"/>
      <c r="F34" s="178" t="n"/>
      <c r="G34" s="141" t="n"/>
      <c r="H34" s="121" t="n"/>
      <c r="I34" s="141" t="n"/>
      <c r="J34" s="178" t="n"/>
      <c r="K34" s="151">
        <f>J34-F34</f>
        <v/>
      </c>
      <c r="L34" s="153">
        <f>K34*24*60</f>
        <v/>
      </c>
      <c r="M34" s="153">
        <f>K34*24</f>
        <v/>
      </c>
    </row>
    <row r="35" ht="15.6" customFormat="1" customHeight="1" s="163">
      <c r="A35" s="171" t="n">
        <v>33</v>
      </c>
      <c r="B35" s="141" t="n"/>
      <c r="C35" s="123" t="n"/>
      <c r="D35" s="141" t="n"/>
      <c r="E35" s="141" t="n"/>
      <c r="F35" s="178" t="n"/>
      <c r="G35" s="141" t="n"/>
      <c r="H35" s="121" t="n"/>
      <c r="I35" s="141" t="n"/>
      <c r="J35" s="178" t="n"/>
      <c r="K35" s="151">
        <f>J35-F35</f>
        <v/>
      </c>
      <c r="L35" s="153">
        <f>K35*24*60</f>
        <v/>
      </c>
      <c r="M35" s="153">
        <f>K35*24</f>
        <v/>
      </c>
    </row>
    <row r="36" ht="15.6" customFormat="1" customHeight="1" s="163">
      <c r="A36" s="175" t="n">
        <v>34</v>
      </c>
      <c r="B36" s="141" t="n"/>
      <c r="C36" s="123" t="n"/>
      <c r="D36" s="141" t="n"/>
      <c r="E36" s="141" t="n"/>
      <c r="F36" s="178" t="n"/>
      <c r="G36" s="141" t="n"/>
      <c r="H36" s="121" t="n"/>
      <c r="I36" s="141" t="n"/>
      <c r="J36" s="178" t="n"/>
      <c r="K36" s="151">
        <f>J36-F36</f>
        <v/>
      </c>
      <c r="L36" s="153">
        <f>K36*24*60</f>
        <v/>
      </c>
      <c r="M36" s="153">
        <f>K36*24</f>
        <v/>
      </c>
    </row>
    <row r="37" ht="15.6" customFormat="1" customHeight="1" s="163">
      <c r="A37" s="171" t="n">
        <v>35</v>
      </c>
      <c r="B37" s="141" t="n"/>
      <c r="C37" s="123" t="n"/>
      <c r="D37" s="141" t="n"/>
      <c r="E37" s="141" t="n"/>
      <c r="F37" s="178" t="n"/>
      <c r="G37" s="141" t="n"/>
      <c r="H37" s="121" t="n"/>
      <c r="I37" s="141" t="n"/>
      <c r="J37" s="178" t="n"/>
      <c r="K37" s="151">
        <f>J37-F37</f>
        <v/>
      </c>
      <c r="L37" s="153">
        <f>K37*24*60</f>
        <v/>
      </c>
      <c r="M37" s="153">
        <f>K37*24</f>
        <v/>
      </c>
    </row>
    <row r="38" ht="15.6" customFormat="1" customHeight="1" s="163">
      <c r="A38" s="171" t="n">
        <v>36</v>
      </c>
      <c r="B38" s="141" t="n"/>
      <c r="C38" s="123" t="n"/>
      <c r="D38" s="141" t="n"/>
      <c r="E38" s="141" t="n"/>
      <c r="F38" s="178" t="n"/>
      <c r="G38" s="141" t="n"/>
      <c r="H38" s="121" t="n"/>
      <c r="I38" s="141" t="n"/>
      <c r="J38" s="178" t="n"/>
      <c r="K38" s="151">
        <f>J38-F38</f>
        <v/>
      </c>
      <c r="L38" s="153">
        <f>K38*24*60</f>
        <v/>
      </c>
      <c r="M38" s="153">
        <f>K38*24</f>
        <v/>
      </c>
    </row>
    <row r="39" ht="15.6" customFormat="1" customHeight="1" s="163">
      <c r="A39" s="171" t="n">
        <v>37</v>
      </c>
      <c r="B39" s="141" t="n"/>
      <c r="C39" s="123" t="n"/>
      <c r="D39" s="141" t="n"/>
      <c r="E39" s="141" t="n"/>
      <c r="F39" s="178" t="n"/>
      <c r="G39" s="141" t="n"/>
      <c r="H39" s="121" t="n"/>
      <c r="I39" s="141" t="n"/>
      <c r="J39" s="178" t="n"/>
      <c r="K39" s="151">
        <f>J39-F39</f>
        <v/>
      </c>
      <c r="L39" s="153">
        <f>K39*24*60</f>
        <v/>
      </c>
      <c r="M39" s="153">
        <f>K39*24</f>
        <v/>
      </c>
    </row>
    <row r="40" ht="15.6" customFormat="1" customHeight="1" s="163">
      <c r="A40" s="175" t="n">
        <v>38</v>
      </c>
      <c r="B40" s="141" t="n"/>
      <c r="C40" s="123" t="n"/>
      <c r="D40" s="141" t="n"/>
      <c r="E40" s="141" t="n"/>
      <c r="F40" s="178" t="n"/>
      <c r="G40" s="141" t="n"/>
      <c r="H40" s="121" t="n"/>
      <c r="I40" s="141" t="n"/>
      <c r="J40" s="178" t="n"/>
      <c r="K40" s="151">
        <f>J40-F40</f>
        <v/>
      </c>
      <c r="L40" s="153">
        <f>K40*24*60</f>
        <v/>
      </c>
      <c r="M40" s="153">
        <f>K40*24</f>
        <v/>
      </c>
    </row>
    <row r="41" ht="15.6" customFormat="1" customHeight="1" s="163">
      <c r="A41" s="171" t="n">
        <v>39</v>
      </c>
      <c r="B41" s="141" t="n"/>
      <c r="C41" s="123" t="n"/>
      <c r="D41" s="141" t="n"/>
      <c r="E41" s="141" t="n"/>
      <c r="F41" s="178" t="n"/>
      <c r="G41" s="141" t="n"/>
      <c r="H41" s="121" t="n"/>
      <c r="I41" s="141" t="n"/>
      <c r="J41" s="178" t="n"/>
      <c r="K41" s="151">
        <f>J41-F41</f>
        <v/>
      </c>
      <c r="L41" s="153">
        <f>K41*24*60</f>
        <v/>
      </c>
      <c r="M41" s="153">
        <f>K41*24</f>
        <v/>
      </c>
    </row>
    <row r="42" ht="15.6" customFormat="1" customHeight="1" s="163">
      <c r="A42" s="171" t="n">
        <v>40</v>
      </c>
      <c r="B42" s="141" t="n"/>
      <c r="C42" s="123" t="n"/>
      <c r="D42" s="141" t="n"/>
      <c r="E42" s="141" t="n"/>
      <c r="F42" s="178" t="n"/>
      <c r="G42" s="141" t="n"/>
      <c r="H42" s="121" t="n"/>
      <c r="I42" s="141" t="n"/>
      <c r="J42" s="178" t="n"/>
      <c r="K42" s="151">
        <f>J42-F42</f>
        <v/>
      </c>
      <c r="L42" s="153">
        <f>K42*24*60</f>
        <v/>
      </c>
      <c r="M42" s="153">
        <f>K42*24</f>
        <v/>
      </c>
    </row>
    <row r="43" ht="15.6" customFormat="1" customHeight="1" s="163">
      <c r="A43" s="171" t="n">
        <v>41</v>
      </c>
      <c r="B43" s="141" t="n"/>
      <c r="C43" s="123" t="n"/>
      <c r="D43" s="141" t="n"/>
      <c r="E43" s="141" t="n"/>
      <c r="F43" s="178" t="n"/>
      <c r="G43" s="141" t="n"/>
      <c r="H43" s="121" t="n"/>
      <c r="I43" s="141" t="n"/>
      <c r="J43" s="178" t="n"/>
      <c r="K43" s="151">
        <f>J43-F43</f>
        <v/>
      </c>
      <c r="L43" s="153">
        <f>K43*24*60</f>
        <v/>
      </c>
      <c r="M43" s="153">
        <f>K43*24</f>
        <v/>
      </c>
    </row>
    <row r="44" ht="15.6" customFormat="1" customHeight="1" s="163">
      <c r="A44" s="175" t="n">
        <v>42</v>
      </c>
      <c r="B44" s="141" t="n"/>
      <c r="C44" s="123" t="n"/>
      <c r="D44" s="141" t="n"/>
      <c r="E44" s="141" t="n"/>
      <c r="F44" s="178" t="n"/>
      <c r="G44" s="141" t="n"/>
      <c r="H44" s="121" t="n"/>
      <c r="I44" s="141" t="n"/>
      <c r="J44" s="178" t="n"/>
      <c r="K44" s="151">
        <f>J44-F44</f>
        <v/>
      </c>
      <c r="L44" s="153">
        <f>K44*24*60</f>
        <v/>
      </c>
      <c r="M44" s="153">
        <f>K44*24</f>
        <v/>
      </c>
    </row>
    <row r="45" ht="15.6" customFormat="1" customHeight="1" s="163">
      <c r="A45" s="171" t="n">
        <v>43</v>
      </c>
      <c r="B45" s="141" t="n"/>
      <c r="C45" s="123" t="n"/>
      <c r="D45" s="141" t="n"/>
      <c r="E45" s="141" t="n"/>
      <c r="F45" s="178" t="n"/>
      <c r="G45" s="141" t="n"/>
      <c r="H45" s="121" t="n"/>
      <c r="I45" s="141" t="n"/>
      <c r="J45" s="178" t="n"/>
      <c r="K45" s="151">
        <f>J45-F45</f>
        <v/>
      </c>
      <c r="L45" s="153">
        <f>K45*24*60</f>
        <v/>
      </c>
      <c r="M45" s="153">
        <f>K45*24</f>
        <v/>
      </c>
    </row>
    <row r="46" ht="15.6" customFormat="1" customHeight="1" s="163">
      <c r="A46" s="171" t="n">
        <v>44</v>
      </c>
      <c r="B46" s="141" t="n"/>
      <c r="C46" s="123" t="n"/>
      <c r="D46" s="141" t="n"/>
      <c r="E46" s="141" t="n"/>
      <c r="F46" s="178" t="n"/>
      <c r="G46" s="141" t="n"/>
      <c r="H46" s="121" t="n"/>
      <c r="I46" s="141" t="n"/>
      <c r="J46" s="178" t="n"/>
      <c r="K46" s="151">
        <f>J46-F46</f>
        <v/>
      </c>
      <c r="L46" s="153">
        <f>K46*24*60</f>
        <v/>
      </c>
      <c r="M46" s="153">
        <f>K46*24</f>
        <v/>
      </c>
    </row>
    <row r="47" ht="15.6" customFormat="1" customHeight="1" s="163">
      <c r="A47" s="171" t="n">
        <v>45</v>
      </c>
      <c r="B47" s="141" t="n"/>
      <c r="C47" s="123" t="n"/>
      <c r="D47" s="141" t="n"/>
      <c r="E47" s="141" t="n"/>
      <c r="F47" s="178" t="n"/>
      <c r="G47" s="141" t="n"/>
      <c r="H47" s="121" t="n"/>
      <c r="I47" s="141" t="n"/>
      <c r="J47" s="178" t="n"/>
      <c r="K47" s="151">
        <f>J47-F47</f>
        <v/>
      </c>
      <c r="L47" s="153">
        <f>K47*24*60</f>
        <v/>
      </c>
      <c r="M47" s="153">
        <f>K47*24</f>
        <v/>
      </c>
    </row>
    <row r="48" ht="15.6" customFormat="1" customHeight="1" s="163">
      <c r="A48" s="175" t="n">
        <v>46</v>
      </c>
      <c r="B48" s="141" t="n"/>
      <c r="C48" s="123" t="n"/>
      <c r="D48" s="134" t="n"/>
      <c r="E48" s="141" t="n"/>
      <c r="F48" s="178" t="n"/>
      <c r="G48" s="141" t="n"/>
      <c r="H48" s="121" t="n"/>
      <c r="I48" s="141" t="n"/>
      <c r="J48" s="178" t="n"/>
      <c r="K48" s="151">
        <f>J48-F48</f>
        <v/>
      </c>
      <c r="L48" s="153">
        <f>K48*24*60</f>
        <v/>
      </c>
      <c r="M48" s="153">
        <f>K48*24</f>
        <v/>
      </c>
    </row>
    <row r="49" ht="15.6" customFormat="1" customHeight="1" s="163">
      <c r="A49" s="171" t="n">
        <v>47</v>
      </c>
      <c r="B49" s="141" t="n"/>
      <c r="C49" s="123" t="n"/>
      <c r="D49" s="141" t="n"/>
      <c r="E49" s="141" t="n"/>
      <c r="F49" s="178" t="n"/>
      <c r="G49" s="141" t="n"/>
      <c r="H49" s="121" t="n"/>
      <c r="I49" s="141" t="n"/>
      <c r="J49" s="178" t="n"/>
      <c r="K49" s="151">
        <f>J49-F49</f>
        <v/>
      </c>
      <c r="L49" s="153">
        <f>K49*24*60</f>
        <v/>
      </c>
      <c r="M49" s="153">
        <f>K49*24</f>
        <v/>
      </c>
    </row>
    <row r="50" ht="15.6" customFormat="1" customHeight="1" s="163">
      <c r="A50" s="171" t="n">
        <v>48</v>
      </c>
      <c r="B50" s="141" t="n"/>
      <c r="C50" s="123" t="n"/>
      <c r="D50" s="141" t="n"/>
      <c r="E50" s="141" t="n"/>
      <c r="F50" s="178" t="n"/>
      <c r="G50" s="141" t="n"/>
      <c r="H50" s="121" t="n"/>
      <c r="I50" s="141" t="n"/>
      <c r="J50" s="178" t="n"/>
      <c r="K50" s="151">
        <f>J50-F50</f>
        <v/>
      </c>
      <c r="L50" s="153">
        <f>K50*24*60</f>
        <v/>
      </c>
      <c r="M50" s="153">
        <f>K50*24</f>
        <v/>
      </c>
    </row>
    <row r="51" ht="15.6" customFormat="1" customHeight="1" s="163">
      <c r="A51" s="171" t="n">
        <v>49</v>
      </c>
      <c r="B51" s="141" t="n"/>
      <c r="C51" s="123" t="n"/>
      <c r="D51" s="141" t="n"/>
      <c r="E51" s="141" t="n"/>
      <c r="F51" s="178" t="n"/>
      <c r="G51" s="141" t="n"/>
      <c r="H51" s="121" t="n"/>
      <c r="I51" s="141" t="n"/>
      <c r="J51" s="178" t="n"/>
      <c r="K51" s="151">
        <f>J51-F51</f>
        <v/>
      </c>
      <c r="L51" s="153">
        <f>K51*24*60</f>
        <v/>
      </c>
      <c r="M51" s="153">
        <f>K51*24</f>
        <v/>
      </c>
    </row>
    <row r="52" ht="15.6" customFormat="1" customHeight="1" s="163">
      <c r="A52" s="175" t="n">
        <v>50</v>
      </c>
      <c r="B52" s="141" t="n"/>
      <c r="C52" s="123" t="n"/>
      <c r="D52" s="141" t="n"/>
      <c r="E52" s="141" t="n"/>
      <c r="F52" s="178" t="n"/>
      <c r="G52" s="141" t="n"/>
      <c r="H52" s="121" t="n"/>
      <c r="I52" s="141" t="n"/>
      <c r="J52" s="178" t="n"/>
      <c r="K52" s="151">
        <f>J52-F52</f>
        <v/>
      </c>
      <c r="L52" s="153">
        <f>K52*24*60</f>
        <v/>
      </c>
      <c r="M52" s="153">
        <f>K52*24</f>
        <v/>
      </c>
    </row>
    <row r="53" ht="15.6" customFormat="1" customHeight="1" s="163">
      <c r="A53" s="171" t="n">
        <v>51</v>
      </c>
      <c r="B53" s="141" t="n"/>
      <c r="C53" s="123" t="n"/>
      <c r="D53" s="141" t="n"/>
      <c r="E53" s="141" t="n"/>
      <c r="F53" s="178" t="n"/>
      <c r="G53" s="141" t="n"/>
      <c r="H53" s="121" t="n"/>
      <c r="I53" s="141" t="n"/>
      <c r="J53" s="178" t="n"/>
      <c r="K53" s="151">
        <f>J53-F53</f>
        <v/>
      </c>
      <c r="L53" s="153">
        <f>K53*24*60</f>
        <v/>
      </c>
      <c r="M53" s="153">
        <f>K53*24</f>
        <v/>
      </c>
    </row>
    <row r="54" ht="15.6" customFormat="1" customHeight="1" s="163">
      <c r="A54" s="171" t="n">
        <v>52</v>
      </c>
      <c r="B54" s="141" t="n"/>
      <c r="C54" s="123" t="n"/>
      <c r="D54" s="141" t="n"/>
      <c r="E54" s="141" t="n"/>
      <c r="F54" s="178" t="n"/>
      <c r="G54" s="141" t="n"/>
      <c r="H54" s="121" t="n"/>
      <c r="I54" s="141" t="n"/>
      <c r="J54" s="178" t="n"/>
      <c r="K54" s="151">
        <f>J54-F54</f>
        <v/>
      </c>
      <c r="L54" s="153">
        <f>K54*24*60</f>
        <v/>
      </c>
      <c r="M54" s="153">
        <f>K54*24</f>
        <v/>
      </c>
    </row>
    <row r="55" ht="15.6" customFormat="1" customHeight="1" s="163">
      <c r="A55" s="171" t="n">
        <v>53</v>
      </c>
      <c r="B55" s="141" t="n"/>
      <c r="C55" s="123" t="n"/>
      <c r="D55" s="141" t="n"/>
      <c r="E55" s="141" t="n"/>
      <c r="F55" s="178" t="n"/>
      <c r="G55" s="141" t="n"/>
      <c r="H55" s="121" t="n"/>
      <c r="I55" s="141" t="n"/>
      <c r="J55" s="178" t="n"/>
      <c r="K55" s="151">
        <f>J55-F55</f>
        <v/>
      </c>
      <c r="L55" s="153">
        <f>K55*24*60</f>
        <v/>
      </c>
      <c r="M55" s="153">
        <f>K55*24</f>
        <v/>
      </c>
    </row>
    <row r="56" ht="15.6" customFormat="1" customHeight="1" s="163">
      <c r="A56" s="175" t="n">
        <v>54</v>
      </c>
      <c r="B56" s="141" t="n"/>
      <c r="C56" s="123" t="n"/>
      <c r="D56" s="141" t="n"/>
      <c r="E56" s="141" t="n"/>
      <c r="F56" s="178" t="n"/>
      <c r="G56" s="141" t="n"/>
      <c r="H56" s="121" t="n"/>
      <c r="I56" s="141" t="n"/>
      <c r="J56" s="178" t="n"/>
      <c r="K56" s="151">
        <f>J56-F56</f>
        <v/>
      </c>
      <c r="L56" s="153">
        <f>K56*24*60</f>
        <v/>
      </c>
      <c r="M56" s="153">
        <f>K56*24</f>
        <v/>
      </c>
    </row>
    <row r="57" ht="15.6" customFormat="1" customHeight="1" s="163">
      <c r="A57" s="171" t="n">
        <v>55</v>
      </c>
      <c r="B57" s="141" t="n"/>
      <c r="C57" s="123" t="n"/>
      <c r="D57" s="141" t="n"/>
      <c r="E57" s="141" t="n"/>
      <c r="F57" s="178" t="n"/>
      <c r="G57" s="141" t="n"/>
      <c r="H57" s="121" t="n"/>
      <c r="I57" s="141" t="n"/>
      <c r="J57" s="178" t="n"/>
      <c r="K57" s="151">
        <f>J57-F57</f>
        <v/>
      </c>
      <c r="L57" s="153">
        <f>K57*24*60</f>
        <v/>
      </c>
      <c r="M57" s="153">
        <f>K57*24</f>
        <v/>
      </c>
    </row>
    <row r="58" ht="15.6" customFormat="1" customHeight="1" s="163">
      <c r="A58" s="171" t="n">
        <v>56</v>
      </c>
      <c r="B58" s="141" t="n"/>
      <c r="C58" s="123" t="n"/>
      <c r="D58" s="141" t="n"/>
      <c r="E58" s="141" t="n"/>
      <c r="F58" s="178" t="n"/>
      <c r="G58" s="141" t="n"/>
      <c r="H58" s="121" t="n"/>
      <c r="I58" s="141" t="n"/>
      <c r="J58" s="178" t="n"/>
      <c r="K58" s="151">
        <f>J58-F58</f>
        <v/>
      </c>
      <c r="L58" s="153">
        <f>K58*24*60</f>
        <v/>
      </c>
      <c r="M58" s="153">
        <f>K58*24</f>
        <v/>
      </c>
    </row>
    <row r="59" ht="15.6" customFormat="1" customHeight="1" s="163">
      <c r="A59" s="171" t="n">
        <v>57</v>
      </c>
      <c r="B59" s="141" t="n"/>
      <c r="C59" s="123" t="n"/>
      <c r="D59" s="141" t="n"/>
      <c r="E59" s="141" t="n"/>
      <c r="F59" s="178" t="n"/>
      <c r="G59" s="141" t="n"/>
      <c r="H59" s="121" t="n"/>
      <c r="I59" s="141" t="n"/>
      <c r="J59" s="178" t="n"/>
      <c r="K59" s="151">
        <f>J59-F59</f>
        <v/>
      </c>
      <c r="L59" s="153">
        <f>K59*24*60</f>
        <v/>
      </c>
      <c r="M59" s="153">
        <f>K59*24</f>
        <v/>
      </c>
    </row>
    <row r="60" ht="15.6" customFormat="1" customHeight="1" s="163">
      <c r="A60" s="175" t="n">
        <v>58</v>
      </c>
      <c r="B60" s="141" t="n"/>
      <c r="C60" s="123" t="n"/>
      <c r="D60" s="141" t="n"/>
      <c r="E60" s="141" t="n"/>
      <c r="F60" s="178" t="n"/>
      <c r="G60" s="141" t="n"/>
      <c r="H60" s="121" t="n"/>
      <c r="I60" s="141" t="n"/>
      <c r="J60" s="178" t="n"/>
      <c r="K60" s="151">
        <f>J60-F60</f>
        <v/>
      </c>
      <c r="L60" s="153">
        <f>K60*24*60</f>
        <v/>
      </c>
      <c r="M60" s="153">
        <f>K60*24</f>
        <v/>
      </c>
    </row>
    <row r="61" ht="15.6" customFormat="1" customHeight="1" s="163">
      <c r="A61" s="171" t="n">
        <v>59</v>
      </c>
      <c r="B61" s="141" t="n"/>
      <c r="C61" s="123" t="n"/>
      <c r="D61" s="141" t="n"/>
      <c r="E61" s="141" t="n"/>
      <c r="F61" s="178" t="n"/>
      <c r="G61" s="141" t="n"/>
      <c r="H61" s="121" t="n"/>
      <c r="I61" s="141" t="n"/>
      <c r="J61" s="178" t="n"/>
      <c r="K61" s="151">
        <f>J61-F61</f>
        <v/>
      </c>
      <c r="L61" s="153">
        <f>K61*24*60</f>
        <v/>
      </c>
      <c r="M61" s="153">
        <f>K61*24</f>
        <v/>
      </c>
    </row>
    <row r="62" ht="15.6" customFormat="1" customHeight="1" s="163">
      <c r="A62" s="171" t="n">
        <v>60</v>
      </c>
      <c r="B62" s="141" t="n"/>
      <c r="C62" s="123" t="n"/>
      <c r="D62" s="141" t="n"/>
      <c r="E62" s="141" t="n"/>
      <c r="F62" s="178" t="n"/>
      <c r="G62" s="141" t="n"/>
      <c r="H62" s="121" t="n"/>
      <c r="I62" s="141" t="n"/>
      <c r="J62" s="178" t="n"/>
      <c r="K62" s="151">
        <f>J62-F62</f>
        <v/>
      </c>
      <c r="L62" s="153">
        <f>K62*24*60</f>
        <v/>
      </c>
      <c r="M62" s="153">
        <f>K62*24</f>
        <v/>
      </c>
    </row>
    <row r="63" ht="15.6" customFormat="1" customHeight="1" s="163">
      <c r="A63" s="171" t="n">
        <v>61</v>
      </c>
      <c r="B63" s="141" t="n"/>
      <c r="C63" s="123" t="n"/>
      <c r="D63" s="141" t="n"/>
      <c r="E63" s="141" t="n"/>
      <c r="F63" s="178" t="n"/>
      <c r="G63" s="141" t="n"/>
      <c r="H63" s="121" t="n"/>
      <c r="I63" s="141" t="n"/>
      <c r="J63" s="178" t="n"/>
      <c r="K63" s="151">
        <f>J63-F63</f>
        <v/>
      </c>
      <c r="L63" s="153">
        <f>K63*24*60</f>
        <v/>
      </c>
      <c r="M63" s="153">
        <f>K63*24</f>
        <v/>
      </c>
    </row>
    <row r="64" ht="15.6" customFormat="1" customHeight="1" s="163">
      <c r="A64" s="175" t="n">
        <v>62</v>
      </c>
      <c r="B64" s="141" t="n"/>
      <c r="C64" s="123" t="n"/>
      <c r="D64" s="141" t="n"/>
      <c r="E64" s="141" t="n"/>
      <c r="F64" s="178" t="n"/>
      <c r="G64" s="141" t="n"/>
      <c r="H64" s="121" t="n"/>
      <c r="I64" s="141" t="n"/>
      <c r="J64" s="178" t="n"/>
      <c r="K64" s="151">
        <f>J64-F64</f>
        <v/>
      </c>
      <c r="L64" s="153">
        <f>K64*24*60</f>
        <v/>
      </c>
      <c r="M64" s="153">
        <f>K64*24</f>
        <v/>
      </c>
    </row>
    <row r="65" ht="15.6" customFormat="1" customHeight="1" s="163">
      <c r="A65" s="171" t="n">
        <v>63</v>
      </c>
      <c r="B65" s="141" t="n"/>
      <c r="C65" s="123" t="n"/>
      <c r="D65" s="141" t="n"/>
      <c r="E65" s="141" t="n"/>
      <c r="F65" s="178" t="n"/>
      <c r="G65" s="141" t="n"/>
      <c r="H65" s="121" t="n"/>
      <c r="I65" s="141" t="n"/>
      <c r="J65" s="178" t="n"/>
      <c r="K65" s="151">
        <f>J65-F65</f>
        <v/>
      </c>
      <c r="L65" s="153">
        <f>K65*24*60</f>
        <v/>
      </c>
      <c r="M65" s="153">
        <f>K65*24</f>
        <v/>
      </c>
    </row>
    <row r="66" ht="15.6" customFormat="1" customHeight="1" s="163">
      <c r="A66" s="171" t="n">
        <v>64</v>
      </c>
      <c r="B66" s="141" t="n"/>
      <c r="C66" s="123" t="n"/>
      <c r="D66" s="141" t="n"/>
      <c r="E66" s="141" t="n"/>
      <c r="F66" s="178" t="n"/>
      <c r="G66" s="141" t="n"/>
      <c r="H66" s="121" t="n"/>
      <c r="I66" s="141" t="n"/>
      <c r="J66" s="178" t="n"/>
      <c r="K66" s="151">
        <f>J66-F66</f>
        <v/>
      </c>
      <c r="L66" s="153">
        <f>K66*24*60</f>
        <v/>
      </c>
      <c r="M66" s="153">
        <f>K66*24</f>
        <v/>
      </c>
    </row>
    <row r="67" ht="15.6" customFormat="1" customHeight="1" s="163">
      <c r="A67" s="171" t="n">
        <v>65</v>
      </c>
      <c r="B67" s="141" t="n"/>
      <c r="C67" s="123" t="n"/>
      <c r="D67" s="141" t="n"/>
      <c r="E67" s="141" t="n"/>
      <c r="F67" s="178" t="n"/>
      <c r="G67" s="141" t="n"/>
      <c r="H67" s="121" t="n"/>
      <c r="I67" s="141" t="n"/>
      <c r="J67" s="178" t="n"/>
      <c r="K67" s="151">
        <f>J67-F67</f>
        <v/>
      </c>
      <c r="L67" s="153">
        <f>K67*24*60</f>
        <v/>
      </c>
      <c r="M67" s="153">
        <f>K67*24</f>
        <v/>
      </c>
    </row>
    <row r="68" ht="15.6" customFormat="1" customHeight="1" s="163">
      <c r="A68" s="175" t="n">
        <v>66</v>
      </c>
      <c r="B68" s="141" t="n"/>
      <c r="C68" s="123" t="n"/>
      <c r="D68" s="141" t="n"/>
      <c r="E68" s="141" t="n"/>
      <c r="F68" s="178" t="n"/>
      <c r="G68" s="141" t="n"/>
      <c r="H68" s="121" t="n"/>
      <c r="I68" s="141" t="n"/>
      <c r="J68" s="178" t="n"/>
      <c r="K68" s="151">
        <f>J68-F68</f>
        <v/>
      </c>
      <c r="L68" s="153">
        <f>K68*24*60</f>
        <v/>
      </c>
      <c r="M68" s="153">
        <f>K68*24</f>
        <v/>
      </c>
    </row>
    <row r="69" ht="15.6" customFormat="1" customHeight="1" s="163">
      <c r="A69" s="171" t="n">
        <v>67</v>
      </c>
      <c r="B69" s="141" t="n"/>
      <c r="C69" s="123" t="n"/>
      <c r="D69" s="141" t="n"/>
      <c r="E69" s="141" t="n"/>
      <c r="F69" s="178" t="n"/>
      <c r="G69" s="141" t="n"/>
      <c r="H69" s="121" t="n"/>
      <c r="I69" s="141" t="n"/>
      <c r="J69" s="178" t="n"/>
      <c r="K69" s="151">
        <f>J69-F69</f>
        <v/>
      </c>
      <c r="L69" s="153">
        <f>K69*24*60</f>
        <v/>
      </c>
      <c r="M69" s="153">
        <f>K69*24</f>
        <v/>
      </c>
    </row>
    <row r="70" ht="15.6" customFormat="1" customHeight="1" s="163">
      <c r="A70" s="171" t="n">
        <v>68</v>
      </c>
      <c r="B70" s="141" t="n"/>
      <c r="C70" s="123" t="n"/>
      <c r="D70" s="141" t="n"/>
      <c r="E70" s="141" t="n"/>
      <c r="F70" s="178" t="n"/>
      <c r="G70" s="141" t="n"/>
      <c r="H70" s="121" t="n"/>
      <c r="I70" s="141" t="n"/>
      <c r="J70" s="178" t="n"/>
      <c r="K70" s="151">
        <f>J70-F70</f>
        <v/>
      </c>
      <c r="L70" s="153">
        <f>K70*24*60</f>
        <v/>
      </c>
      <c r="M70" s="153">
        <f>K70*24</f>
        <v/>
      </c>
    </row>
    <row r="71" ht="15.6" customFormat="1" customHeight="1" s="163">
      <c r="A71" s="171" t="n">
        <v>69</v>
      </c>
      <c r="B71" s="141" t="n"/>
      <c r="C71" s="123" t="n"/>
      <c r="D71" s="141" t="n"/>
      <c r="E71" s="141" t="n"/>
      <c r="F71" s="178" t="n"/>
      <c r="G71" s="141" t="n"/>
      <c r="H71" s="121" t="n"/>
      <c r="I71" s="141" t="n"/>
      <c r="J71" s="178" t="n"/>
      <c r="K71" s="151">
        <f>J71-F71</f>
        <v/>
      </c>
      <c r="L71" s="153">
        <f>K71*24*60</f>
        <v/>
      </c>
      <c r="M71" s="153">
        <f>K71*24</f>
        <v/>
      </c>
    </row>
    <row r="72" ht="15.6" customFormat="1" customHeight="1" s="163">
      <c r="A72" s="175" t="n">
        <v>70</v>
      </c>
      <c r="B72" s="141" t="n"/>
      <c r="C72" s="123" t="n"/>
      <c r="D72" s="141" t="n"/>
      <c r="E72" s="141" t="n"/>
      <c r="F72" s="178" t="n"/>
      <c r="G72" s="141" t="n"/>
      <c r="H72" s="121" t="n"/>
      <c r="I72" s="141" t="n"/>
      <c r="J72" s="178" t="n"/>
      <c r="K72" s="151">
        <f>J72-F72</f>
        <v/>
      </c>
      <c r="L72" s="153">
        <f>K72*24*60</f>
        <v/>
      </c>
      <c r="M72" s="153">
        <f>K72*24</f>
        <v/>
      </c>
    </row>
    <row r="73" ht="15.6" customFormat="1" customHeight="1" s="163">
      <c r="A73" s="171" t="n">
        <v>71</v>
      </c>
      <c r="B73" s="141" t="n"/>
      <c r="C73" s="123" t="n"/>
      <c r="D73" s="141" t="n"/>
      <c r="E73" s="141" t="n"/>
      <c r="F73" s="178" t="n"/>
      <c r="G73" s="141" t="n"/>
      <c r="H73" s="121" t="n"/>
      <c r="I73" s="141" t="n"/>
      <c r="J73" s="178" t="n"/>
      <c r="K73" s="151">
        <f>J73-F73</f>
        <v/>
      </c>
      <c r="L73" s="153">
        <f>K73*24*60</f>
        <v/>
      </c>
      <c r="M73" s="153">
        <f>K73*24</f>
        <v/>
      </c>
    </row>
    <row r="74" ht="15.6" customFormat="1" customHeight="1" s="163">
      <c r="A74" s="171" t="n">
        <v>72</v>
      </c>
      <c r="B74" s="141" t="n"/>
      <c r="C74" s="123" t="n"/>
      <c r="D74" s="141" t="n"/>
      <c r="E74" s="141" t="n"/>
      <c r="F74" s="178" t="n"/>
      <c r="G74" s="141" t="n"/>
      <c r="H74" s="121" t="n"/>
      <c r="I74" s="141" t="n"/>
      <c r="J74" s="178" t="n"/>
      <c r="K74" s="151">
        <f>J74-F74</f>
        <v/>
      </c>
      <c r="L74" s="153">
        <f>K74*24*60</f>
        <v/>
      </c>
      <c r="M74" s="153">
        <f>K74*24</f>
        <v/>
      </c>
    </row>
    <row r="75" ht="15.6" customFormat="1" customHeight="1" s="163">
      <c r="A75" s="171" t="n">
        <v>73</v>
      </c>
      <c r="B75" s="141" t="n"/>
      <c r="C75" s="123" t="n"/>
      <c r="D75" s="141" t="n"/>
      <c r="E75" s="141" t="n"/>
      <c r="F75" s="178" t="n"/>
      <c r="G75" s="141" t="n"/>
      <c r="H75" s="121" t="n"/>
      <c r="I75" s="141" t="n"/>
      <c r="J75" s="178" t="n"/>
      <c r="K75" s="151">
        <f>J75-F75</f>
        <v/>
      </c>
      <c r="L75" s="153">
        <f>K75*24*60</f>
        <v/>
      </c>
      <c r="M75" s="153">
        <f>K75*24</f>
        <v/>
      </c>
    </row>
    <row r="76" ht="15.6" customFormat="1" customHeight="1" s="163">
      <c r="A76" s="175" t="n">
        <v>74</v>
      </c>
      <c r="B76" s="141" t="n"/>
      <c r="C76" s="123" t="n"/>
      <c r="D76" s="141" t="n"/>
      <c r="E76" s="141" t="n"/>
      <c r="F76" s="178" t="n"/>
      <c r="G76" s="141" t="n"/>
      <c r="H76" s="121" t="n"/>
      <c r="I76" s="141" t="n"/>
      <c r="J76" s="178" t="n"/>
      <c r="K76" s="151">
        <f>J76-F76</f>
        <v/>
      </c>
      <c r="L76" s="153">
        <f>K76*24*60</f>
        <v/>
      </c>
      <c r="M76" s="153">
        <f>K76*24</f>
        <v/>
      </c>
    </row>
    <row r="77" ht="15.6" customFormat="1" customHeight="1" s="163">
      <c r="A77" s="171" t="n">
        <v>75</v>
      </c>
      <c r="B77" s="141" t="n"/>
      <c r="C77" s="123" t="n"/>
      <c r="D77" s="141" t="n"/>
      <c r="E77" s="141" t="n"/>
      <c r="F77" s="178" t="n"/>
      <c r="G77" s="141" t="n"/>
      <c r="H77" s="121" t="n"/>
      <c r="I77" s="141" t="n"/>
      <c r="J77" s="178" t="n"/>
      <c r="K77" s="151">
        <f>J77-F77</f>
        <v/>
      </c>
      <c r="L77" s="153">
        <f>K77*24*60</f>
        <v/>
      </c>
      <c r="M77" s="153">
        <f>K77*24</f>
        <v/>
      </c>
    </row>
    <row r="78" ht="15.6" customFormat="1" customHeight="1" s="163">
      <c r="A78" s="171" t="n">
        <v>76</v>
      </c>
      <c r="B78" s="141" t="n"/>
      <c r="C78" s="123" t="n"/>
      <c r="D78" s="141" t="n"/>
      <c r="E78" s="141" t="n"/>
      <c r="F78" s="178" t="n"/>
      <c r="G78" s="141" t="n"/>
      <c r="H78" s="121" t="n"/>
      <c r="I78" s="141" t="n"/>
      <c r="J78" s="178" t="n"/>
      <c r="K78" s="151">
        <f>J78-F78</f>
        <v/>
      </c>
      <c r="L78" s="153">
        <f>K78*24*60</f>
        <v/>
      </c>
      <c r="M78" s="153">
        <f>K78*24</f>
        <v/>
      </c>
    </row>
    <row r="79" ht="15.6" customFormat="1" customHeight="1" s="163">
      <c r="A79" s="171" t="n">
        <v>77</v>
      </c>
      <c r="B79" s="141" t="n"/>
      <c r="C79" s="123" t="n"/>
      <c r="D79" s="141" t="n"/>
      <c r="E79" s="141" t="n"/>
      <c r="F79" s="178" t="n"/>
      <c r="G79" s="141" t="n"/>
      <c r="H79" s="121" t="n"/>
      <c r="I79" s="141" t="n"/>
      <c r="J79" s="178" t="n"/>
      <c r="K79" s="151">
        <f>J79-F79</f>
        <v/>
      </c>
      <c r="L79" s="153">
        <f>K79*24*60</f>
        <v/>
      </c>
      <c r="M79" s="153">
        <f>K79*24</f>
        <v/>
      </c>
    </row>
    <row r="80" ht="15.6" customFormat="1" customHeight="1" s="163">
      <c r="A80" s="175" t="n">
        <v>78</v>
      </c>
      <c r="B80" s="141" t="n"/>
      <c r="C80" s="123" t="n"/>
      <c r="D80" s="141" t="n"/>
      <c r="E80" s="141" t="n"/>
      <c r="F80" s="178" t="n"/>
      <c r="G80" s="141" t="n"/>
      <c r="H80" s="121" t="n"/>
      <c r="I80" s="141" t="n"/>
      <c r="J80" s="178" t="n"/>
      <c r="K80" s="151">
        <f>J80-F80</f>
        <v/>
      </c>
      <c r="L80" s="153">
        <f>K80*24*60</f>
        <v/>
      </c>
      <c r="M80" s="153">
        <f>K80*24</f>
        <v/>
      </c>
    </row>
    <row r="81" ht="15.6" customFormat="1" customHeight="1" s="163">
      <c r="A81" s="171" t="n">
        <v>79</v>
      </c>
      <c r="B81" s="141" t="n"/>
      <c r="C81" s="123" t="n"/>
      <c r="D81" s="141" t="n"/>
      <c r="E81" s="141" t="n"/>
      <c r="F81" s="141" t="n"/>
      <c r="G81" s="141" t="n"/>
      <c r="H81" s="121" t="n"/>
      <c r="I81" s="141" t="n"/>
      <c r="J81" s="141" t="n"/>
      <c r="K81" s="151">
        <f>J81-F81</f>
        <v/>
      </c>
      <c r="L81" s="153">
        <f>K81*24*60</f>
        <v/>
      </c>
      <c r="M81" s="153">
        <f>K81*24</f>
        <v/>
      </c>
    </row>
    <row r="82" ht="15.6" customFormat="1" customHeight="1" s="163">
      <c r="A82" s="171" t="n">
        <v>80</v>
      </c>
      <c r="B82" s="141" t="n"/>
      <c r="C82" s="123" t="n"/>
      <c r="D82" s="141" t="n"/>
      <c r="E82" s="141" t="n"/>
      <c r="F82" s="141" t="n"/>
      <c r="G82" s="141" t="n"/>
      <c r="H82" s="121" t="n"/>
      <c r="I82" s="141" t="n"/>
      <c r="J82" s="141" t="n"/>
      <c r="K82" s="151">
        <f>J82-F82</f>
        <v/>
      </c>
      <c r="L82" s="153">
        <f>K82*24*60</f>
        <v/>
      </c>
      <c r="M82" s="153">
        <f>K82*24</f>
        <v/>
      </c>
    </row>
    <row r="83" ht="15.6" customFormat="1" customHeight="1" s="163">
      <c r="A83" s="171" t="n">
        <v>81</v>
      </c>
      <c r="B83" s="141" t="n"/>
      <c r="C83" s="123" t="n"/>
      <c r="D83" s="141" t="n"/>
      <c r="E83" s="141" t="n"/>
      <c r="F83" s="141" t="n"/>
      <c r="G83" s="141" t="n"/>
      <c r="H83" s="121" t="n"/>
      <c r="I83" s="141" t="n"/>
      <c r="J83" s="141" t="n"/>
      <c r="K83" s="151">
        <f>J83-F83</f>
        <v/>
      </c>
      <c r="L83" s="153">
        <f>K83*24*60</f>
        <v/>
      </c>
      <c r="M83" s="153">
        <f>K83*24</f>
        <v/>
      </c>
    </row>
    <row r="84" ht="15.6" customFormat="1" customHeight="1" s="163">
      <c r="A84" s="175" t="n">
        <v>82</v>
      </c>
      <c r="B84" s="141" t="n"/>
      <c r="C84" s="123" t="n"/>
      <c r="D84" s="141" t="n"/>
      <c r="E84" s="141" t="n"/>
      <c r="F84" s="141" t="n"/>
      <c r="G84" s="141" t="n"/>
      <c r="H84" s="121" t="n"/>
      <c r="I84" s="141" t="n"/>
      <c r="J84" s="141" t="n"/>
      <c r="K84" s="151">
        <f>J84-F84</f>
        <v/>
      </c>
      <c r="L84" s="153">
        <f>K84*24*60</f>
        <v/>
      </c>
      <c r="M84" s="153">
        <f>K84*24</f>
        <v/>
      </c>
    </row>
    <row r="85" ht="15.6" customFormat="1" customHeight="1" s="163">
      <c r="A85" s="171" t="n">
        <v>83</v>
      </c>
      <c r="B85" s="141" t="n"/>
      <c r="C85" s="123" t="n"/>
      <c r="D85" s="141" t="n"/>
      <c r="E85" s="141" t="n"/>
      <c r="F85" s="141" t="n"/>
      <c r="G85" s="141" t="n"/>
      <c r="H85" s="121" t="n"/>
      <c r="I85" s="141" t="n"/>
      <c r="J85" s="141" t="n"/>
      <c r="K85" s="151">
        <f>J85-F85</f>
        <v/>
      </c>
      <c r="L85" s="153">
        <f>K85*24*60</f>
        <v/>
      </c>
      <c r="M85" s="153">
        <f>K85*24</f>
        <v/>
      </c>
    </row>
    <row r="86" ht="15.6" customFormat="1" customHeight="1" s="163">
      <c r="A86" s="171" t="n">
        <v>84</v>
      </c>
      <c r="B86" s="141" t="n"/>
      <c r="C86" s="123" t="n"/>
      <c r="D86" s="141" t="n"/>
      <c r="E86" s="141" t="n"/>
      <c r="F86" s="141" t="n"/>
      <c r="G86" s="141" t="n"/>
      <c r="H86" s="121" t="n"/>
      <c r="I86" s="141" t="n"/>
      <c r="J86" s="141" t="n"/>
      <c r="K86" s="151">
        <f>J86-F86</f>
        <v/>
      </c>
      <c r="L86" s="153">
        <f>K86*24*60</f>
        <v/>
      </c>
      <c r="M86" s="153">
        <f>K86*24</f>
        <v/>
      </c>
    </row>
    <row r="87" ht="15.6" customFormat="1" customHeight="1" s="163">
      <c r="A87" s="171" t="n">
        <v>85</v>
      </c>
      <c r="B87" s="141" t="n"/>
      <c r="C87" s="123" t="n"/>
      <c r="D87" s="141" t="n"/>
      <c r="E87" s="141" t="n"/>
      <c r="F87" s="141" t="n"/>
      <c r="G87" s="141" t="n"/>
      <c r="H87" s="121" t="n"/>
      <c r="I87" s="141" t="n"/>
      <c r="J87" s="141" t="n"/>
      <c r="K87" s="151">
        <f>J87-F87</f>
        <v/>
      </c>
      <c r="L87" s="153">
        <f>K87*24*60</f>
        <v/>
      </c>
      <c r="M87" s="153">
        <f>K87*24</f>
        <v/>
      </c>
    </row>
    <row r="88" ht="15.6" customFormat="1" customHeight="1" s="163">
      <c r="A88" s="175" t="n">
        <v>86</v>
      </c>
      <c r="B88" s="141" t="n"/>
      <c r="C88" s="123" t="n"/>
      <c r="D88" s="141" t="n"/>
      <c r="E88" s="141" t="n"/>
      <c r="F88" s="141" t="n"/>
      <c r="G88" s="141" t="n"/>
      <c r="H88" s="121" t="n"/>
      <c r="I88" s="141" t="n"/>
      <c r="J88" s="141" t="n"/>
      <c r="K88" s="151">
        <f>J88-F88</f>
        <v/>
      </c>
      <c r="L88" s="153">
        <f>K88*24*60</f>
        <v/>
      </c>
      <c r="M88" s="153">
        <f>K88*24</f>
        <v/>
      </c>
    </row>
    <row r="89" ht="15.6" customFormat="1" customHeight="1" s="163">
      <c r="A89" s="171" t="n">
        <v>87</v>
      </c>
      <c r="B89" s="141" t="n"/>
      <c r="C89" s="123" t="n"/>
      <c r="D89" s="141" t="n"/>
      <c r="E89" s="141" t="n"/>
      <c r="F89" s="141" t="n"/>
      <c r="G89" s="141" t="n"/>
      <c r="H89" s="121" t="n"/>
      <c r="I89" s="141" t="n"/>
      <c r="J89" s="141" t="n"/>
      <c r="K89" s="151">
        <f>J89-F89</f>
        <v/>
      </c>
      <c r="L89" s="153">
        <f>K89*24*60</f>
        <v/>
      </c>
      <c r="M89" s="153">
        <f>K89*24</f>
        <v/>
      </c>
    </row>
    <row r="90" ht="15.6" customFormat="1" customHeight="1" s="163">
      <c r="A90" s="171" t="n">
        <v>88</v>
      </c>
      <c r="B90" s="141" t="n"/>
      <c r="C90" s="123" t="n"/>
      <c r="D90" s="141" t="n"/>
      <c r="E90" s="141" t="n"/>
      <c r="F90" s="141" t="n"/>
      <c r="G90" s="141" t="n"/>
      <c r="H90" s="121" t="n"/>
      <c r="I90" s="141" t="n"/>
      <c r="J90" s="141" t="n"/>
      <c r="K90" s="151">
        <f>J90-F90</f>
        <v/>
      </c>
      <c r="L90" s="153">
        <f>K90*24*60</f>
        <v/>
      </c>
      <c r="M90" s="153">
        <f>K90*24</f>
        <v/>
      </c>
    </row>
    <row r="91" ht="15.6" customFormat="1" customHeight="1" s="163">
      <c r="A91" s="171" t="n">
        <v>89</v>
      </c>
      <c r="B91" s="141" t="n"/>
      <c r="C91" s="123" t="n"/>
      <c r="D91" s="141" t="n"/>
      <c r="E91" s="141" t="n"/>
      <c r="F91" s="141" t="n"/>
      <c r="G91" s="141" t="n"/>
      <c r="H91" s="121" t="n"/>
      <c r="I91" s="141" t="n"/>
      <c r="J91" s="141" t="n"/>
      <c r="K91" s="151">
        <f>J91-F91</f>
        <v/>
      </c>
      <c r="L91" s="153">
        <f>K91*24*60</f>
        <v/>
      </c>
      <c r="M91" s="153">
        <f>K91*24</f>
        <v/>
      </c>
    </row>
    <row r="92" ht="15.6" customFormat="1" customHeight="1" s="163">
      <c r="A92" s="175" t="n">
        <v>90</v>
      </c>
      <c r="B92" s="141" t="n"/>
      <c r="C92" s="123" t="n"/>
      <c r="D92" s="141" t="n"/>
      <c r="E92" s="141" t="n"/>
      <c r="F92" s="141" t="n"/>
      <c r="G92" s="141" t="n"/>
      <c r="H92" s="121" t="n"/>
      <c r="I92" s="141" t="n"/>
      <c r="J92" s="141" t="n"/>
      <c r="K92" s="151">
        <f>J92-F92</f>
        <v/>
      </c>
      <c r="L92" s="153">
        <f>K92*24*60</f>
        <v/>
      </c>
      <c r="M92" s="153">
        <f>K92*24</f>
        <v/>
      </c>
    </row>
    <row r="93" ht="15.6" customFormat="1" customHeight="1" s="163">
      <c r="A93" s="171" t="n">
        <v>91</v>
      </c>
      <c r="B93" s="141" t="n"/>
      <c r="C93" s="123" t="n"/>
      <c r="D93" s="141" t="n"/>
      <c r="E93" s="141" t="n"/>
      <c r="F93" s="141" t="n"/>
      <c r="G93" s="141" t="n"/>
      <c r="H93" s="121" t="n"/>
      <c r="I93" s="141" t="n"/>
      <c r="J93" s="141" t="n"/>
      <c r="K93" s="151">
        <f>J93-F93</f>
        <v/>
      </c>
      <c r="L93" s="153">
        <f>K93*24*60</f>
        <v/>
      </c>
      <c r="M93" s="153">
        <f>K93*24</f>
        <v/>
      </c>
    </row>
    <row r="94" ht="15.6" customFormat="1" customHeight="1" s="163">
      <c r="A94" s="171" t="n">
        <v>92</v>
      </c>
      <c r="B94" s="141" t="n"/>
      <c r="C94" s="123" t="n"/>
      <c r="D94" s="141" t="n"/>
      <c r="E94" s="141" t="n"/>
      <c r="F94" s="141" t="n"/>
      <c r="G94" s="141" t="n"/>
      <c r="H94" s="121" t="n"/>
      <c r="I94" s="141" t="n"/>
      <c r="J94" s="141" t="n"/>
      <c r="K94" s="151">
        <f>J94-F94</f>
        <v/>
      </c>
      <c r="L94" s="153">
        <f>K94*24*60</f>
        <v/>
      </c>
      <c r="M94" s="153">
        <f>K94*24</f>
        <v/>
      </c>
    </row>
    <row r="95" ht="15.6" customFormat="1" customHeight="1" s="163">
      <c r="A95" s="171" t="n">
        <v>93</v>
      </c>
      <c r="B95" s="141" t="n"/>
      <c r="C95" s="123" t="n"/>
      <c r="D95" s="141" t="n"/>
      <c r="E95" s="141" t="n"/>
      <c r="F95" s="141" t="n"/>
      <c r="G95" s="141" t="n"/>
      <c r="H95" s="121" t="n"/>
      <c r="I95" s="141" t="n"/>
      <c r="J95" s="141" t="n"/>
      <c r="K95" s="151">
        <f>J95-F95</f>
        <v/>
      </c>
      <c r="L95" s="153">
        <f>K95*24*60</f>
        <v/>
      </c>
      <c r="M95" s="153">
        <f>K95*24</f>
        <v/>
      </c>
    </row>
    <row r="96" ht="15.6" customFormat="1" customHeight="1" s="163">
      <c r="A96" s="175" t="n">
        <v>94</v>
      </c>
      <c r="B96" s="141" t="n"/>
      <c r="C96" s="123" t="n"/>
      <c r="D96" s="141" t="n"/>
      <c r="E96" s="141" t="n"/>
      <c r="F96" s="141" t="n"/>
      <c r="G96" s="141" t="n"/>
      <c r="H96" s="121" t="n"/>
      <c r="I96" s="141" t="n"/>
      <c r="J96" s="141" t="n"/>
      <c r="K96" s="151">
        <f>J96-F96</f>
        <v/>
      </c>
      <c r="L96" s="153">
        <f>K96*24*60</f>
        <v/>
      </c>
      <c r="M96" s="153">
        <f>K96*24</f>
        <v/>
      </c>
    </row>
    <row r="97" ht="15.6" customFormat="1" customHeight="1" s="163">
      <c r="A97" s="171" t="n">
        <v>95</v>
      </c>
      <c r="B97" s="141" t="n"/>
      <c r="C97" s="123" t="n"/>
      <c r="D97" s="141" t="n"/>
      <c r="E97" s="141" t="n"/>
      <c r="F97" s="141" t="n"/>
      <c r="G97" s="141" t="n"/>
      <c r="H97" s="121" t="n"/>
      <c r="I97" s="141" t="n"/>
      <c r="J97" s="141" t="n"/>
      <c r="K97" s="151">
        <f>J97-F97</f>
        <v/>
      </c>
      <c r="L97" s="153">
        <f>K97*24*60</f>
        <v/>
      </c>
      <c r="M97" s="153">
        <f>K97*24</f>
        <v/>
      </c>
    </row>
    <row r="98" ht="15.6" customFormat="1" customHeight="1" s="163">
      <c r="A98" s="171" t="n">
        <v>96</v>
      </c>
      <c r="B98" s="141" t="n"/>
      <c r="C98" s="123" t="n"/>
      <c r="D98" s="141" t="n"/>
      <c r="E98" s="141" t="n"/>
      <c r="F98" s="141" t="n"/>
      <c r="G98" s="141" t="n"/>
      <c r="H98" s="121" t="n"/>
      <c r="I98" s="141" t="n"/>
      <c r="J98" s="141" t="n"/>
      <c r="K98" s="151">
        <f>J98-F98</f>
        <v/>
      </c>
      <c r="L98" s="153">
        <f>K98*24*60</f>
        <v/>
      </c>
      <c r="M98" s="153">
        <f>K98*24</f>
        <v/>
      </c>
    </row>
    <row r="99" ht="15.6" customFormat="1" customHeight="1" s="163">
      <c r="A99" s="171" t="n">
        <v>97</v>
      </c>
      <c r="B99" s="141" t="n"/>
      <c r="C99" s="123" t="n"/>
      <c r="D99" s="141" t="n"/>
      <c r="E99" s="141" t="n"/>
      <c r="F99" s="141" t="n"/>
      <c r="G99" s="141" t="n"/>
      <c r="H99" s="121" t="n"/>
      <c r="I99" s="141" t="n"/>
      <c r="J99" s="141" t="n"/>
      <c r="K99" s="151">
        <f>J99-F99</f>
        <v/>
      </c>
      <c r="L99" s="153">
        <f>K99*24*60</f>
        <v/>
      </c>
      <c r="M99" s="153">
        <f>K99*24</f>
        <v/>
      </c>
    </row>
    <row r="100" ht="15.6" customFormat="1" customHeight="1" s="163">
      <c r="A100" s="175" t="n">
        <v>98</v>
      </c>
      <c r="B100" s="141" t="n"/>
      <c r="C100" s="123" t="n"/>
      <c r="D100" s="141" t="n"/>
      <c r="E100" s="141" t="n"/>
      <c r="F100" s="141" t="n"/>
      <c r="G100" s="141" t="n"/>
      <c r="H100" s="121" t="n"/>
      <c r="I100" s="141" t="n"/>
      <c r="J100" s="141" t="n"/>
      <c r="K100" s="151">
        <f>J100-F100</f>
        <v/>
      </c>
      <c r="L100" s="153">
        <f>K100*24*60</f>
        <v/>
      </c>
      <c r="M100" s="153">
        <f>K100*24</f>
        <v/>
      </c>
    </row>
    <row r="101" ht="15.6" customHeight="1">
      <c r="C101" s="123" t="n"/>
      <c r="H101" s="121" t="n"/>
    </row>
    <row r="102" ht="15.6" customHeight="1">
      <c r="C102" s="123" t="n"/>
      <c r="H102" s="121" t="n"/>
    </row>
    <row r="103" ht="15.6" customHeight="1">
      <c r="C103" s="123" t="n"/>
      <c r="H103" s="121" t="n"/>
    </row>
    <row r="104" ht="15.6" customHeight="1">
      <c r="C104" s="123" t="n"/>
      <c r="H104" s="121" t="n"/>
    </row>
    <row r="105" ht="15.6" customHeight="1">
      <c r="C105" s="123" t="n"/>
      <c r="H105" s="121" t="n"/>
    </row>
    <row r="106" ht="15.6" customHeight="1">
      <c r="C106" s="123" t="n"/>
      <c r="H106" s="121" t="n"/>
    </row>
    <row r="107" ht="15.6" customHeight="1">
      <c r="C107" s="123" t="n"/>
      <c r="H107" s="121" t="n"/>
    </row>
    <row r="108" ht="15.6" customHeight="1">
      <c r="C108" s="123" t="n"/>
      <c r="H108" s="121" t="n"/>
    </row>
    <row r="109" ht="15.6" customHeight="1">
      <c r="C109" s="123" t="n"/>
      <c r="H109" s="121" t="n"/>
    </row>
    <row r="110" ht="15.6" customHeight="1">
      <c r="C110" s="123" t="n"/>
      <c r="H110" s="121" t="n"/>
    </row>
    <row r="111" ht="15.6" customHeight="1">
      <c r="C111" s="123" t="n"/>
    </row>
    <row r="1046615">
      <c r="H1046615" s="100" t="n"/>
    </row>
  </sheetData>
  <mergeCells count="1">
    <mergeCell ref="A1:M1"/>
  </mergeCells>
  <dataValidations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O1048522"/>
  <sheetViews>
    <sheetView showGridLines="0" topLeftCell="D1" zoomScaleNormal="100" workbookViewId="0">
      <pane ySplit="2" topLeftCell="A37" activePane="bottomLeft" state="frozen"/>
      <selection pane="bottomLeft" activeCell="B41" sqref="B41"/>
    </sheetView>
  </sheetViews>
  <sheetFormatPr baseColWidth="8" defaultColWidth="0" defaultRowHeight="14.45"/>
  <cols>
    <col width="6.42578125" customWidth="1" style="86" min="1" max="1"/>
    <col width="47.28515625" bestFit="1" customWidth="1" style="2" min="2" max="2"/>
    <col width="40" bestFit="1" customWidth="1" style="7" min="3" max="3"/>
    <col width="20.7109375" customWidth="1" style="2" min="4" max="4"/>
    <col width="30.7109375" customWidth="1" style="2" min="5" max="5"/>
    <col width="23.42578125" bestFit="1" customWidth="1" style="148" min="6" max="6"/>
    <col width="28.28515625" bestFit="1" customWidth="1" style="7" min="7" max="7"/>
    <col width="25" bestFit="1" customWidth="1" style="7" min="8" max="8"/>
    <col width="35.140625" customWidth="1" style="2" min="9" max="9"/>
    <col width="28" bestFit="1" customWidth="1" style="148" min="10" max="10"/>
    <col width="18.42578125" bestFit="1" customWidth="1" style="148" min="11" max="11"/>
    <col width="22.28515625" bestFit="1" customWidth="1" style="148" min="12" max="12"/>
    <col width="22.85546875" bestFit="1" customWidth="1" style="148" min="13" max="13"/>
    <col width="4.140625" customWidth="1" min="14" max="14"/>
    <col hidden="1" width="11.42578125" customWidth="1" min="15" max="16383"/>
    <col hidden="1" width="6" customWidth="1" min="16384" max="16384"/>
  </cols>
  <sheetData>
    <row r="1" ht="36" customFormat="1" customHeight="1" s="161" thickBot="1">
      <c r="A1" s="319" t="inlineStr">
        <is>
          <t>Planilla Control de Eventos Servidores S@MI</t>
        </is>
      </c>
      <c r="B1" s="359" t="n"/>
      <c r="C1" s="359" t="n"/>
      <c r="D1" s="359" t="n"/>
      <c r="E1" s="359" t="n"/>
      <c r="F1" s="359" t="n"/>
      <c r="G1" s="359" t="n"/>
      <c r="H1" s="359" t="n"/>
      <c r="I1" s="359" t="n"/>
      <c r="J1" s="359" t="n"/>
      <c r="K1" s="359" t="n"/>
      <c r="L1" s="359" t="n"/>
      <c r="M1" s="359" t="n"/>
    </row>
    <row r="2" ht="42.75" customFormat="1" customHeight="1" s="161" thickTop="1">
      <c r="A2" s="120" t="inlineStr">
        <is>
          <t>Item</t>
        </is>
      </c>
      <c r="B2" s="120" t="inlineStr">
        <is>
          <t>Dispositivo</t>
        </is>
      </c>
      <c r="C2" s="120" t="inlineStr">
        <is>
          <t>Analista</t>
        </is>
      </c>
      <c r="D2" s="120" t="inlineStr">
        <is>
          <t>Numero de Ticket</t>
        </is>
      </c>
      <c r="E2" s="120" t="inlineStr">
        <is>
          <t>Descripcion del Evento</t>
        </is>
      </c>
      <c r="F2" s="120" t="inlineStr">
        <is>
          <t xml:space="preserve">Fecha/Hora Inicio Evento </t>
        </is>
      </c>
      <c r="G2" s="120" t="inlineStr">
        <is>
          <t>Causa</t>
        </is>
      </c>
      <c r="H2" s="120" t="inlineStr">
        <is>
          <t>Areas Involucradas</t>
        </is>
      </c>
      <c r="I2" s="120" t="inlineStr">
        <is>
          <t>Solucion</t>
        </is>
      </c>
      <c r="J2" s="120" t="inlineStr">
        <is>
          <t xml:space="preserve">Fecha/Hora Fin Evento </t>
        </is>
      </c>
      <c r="K2" s="120" t="inlineStr">
        <is>
          <t>Tiempo Total</t>
        </is>
      </c>
      <c r="L2" s="120" t="inlineStr">
        <is>
          <t>Tiempo Minutos</t>
        </is>
      </c>
      <c r="M2" s="120" t="inlineStr">
        <is>
          <t>Tiempo en Horas</t>
        </is>
      </c>
    </row>
    <row r="3" ht="15" customFormat="1" customHeight="1" s="137">
      <c r="A3" s="18" t="n">
        <v>1</v>
      </c>
      <c r="B3" s="274" t="inlineStr">
        <is>
          <t xml:space="preserve">algenib.medellin.gov.co </t>
        </is>
      </c>
      <c r="C3" s="123" t="inlineStr">
        <is>
          <t>Julián David Cataño Sierra / 14:00 - 22:00</t>
        </is>
      </c>
      <c r="D3" s="237" t="inlineStr">
        <is>
          <t>RQ-11721-6-3332</t>
        </is>
      </c>
      <c r="E3" s="125" t="inlineStr">
        <is>
          <t>Reinicio de servidores</t>
        </is>
      </c>
      <c r="F3" s="145" t="n">
        <v>46220.83333333334</v>
      </c>
      <c r="G3" s="272" t="inlineStr">
        <is>
          <t>Reinicio de servidores</t>
        </is>
      </c>
      <c r="H3" s="121" t="inlineStr">
        <is>
          <t>SERVIDORES</t>
        </is>
      </c>
      <c r="I3" s="173" t="inlineStr">
        <is>
          <t>Se genera snapshot, validan windows update actualizados, se realiza reinicio controlado del servidor, se eliminan snapshot.</t>
        </is>
      </c>
      <c r="J3" s="145" t="n">
        <v>46220.84027777778</v>
      </c>
      <c r="K3" s="179">
        <f>J3-F3</f>
        <v/>
      </c>
      <c r="L3" s="180">
        <f>K3*24*60</f>
        <v/>
      </c>
      <c r="M3" s="180">
        <f>+L3/60</f>
        <v/>
      </c>
    </row>
    <row r="4" ht="15" customFormat="1" customHeight="1" s="137">
      <c r="A4" s="18" t="n">
        <v>2</v>
      </c>
      <c r="B4" s="274" t="inlineStr">
        <is>
          <t xml:space="preserve">almach.medellin.gov.co   </t>
        </is>
      </c>
      <c r="C4" s="123" t="inlineStr">
        <is>
          <t>Julián David Cataño Sierra / 14:00 - 22:00</t>
        </is>
      </c>
      <c r="D4" s="237" t="inlineStr">
        <is>
          <t>RQ-11721-6-3332</t>
        </is>
      </c>
      <c r="E4" s="125" t="inlineStr">
        <is>
          <t>Reinicio de servidores</t>
        </is>
      </c>
      <c r="F4" s="145" t="n">
        <v>46220.83333333334</v>
      </c>
      <c r="G4" s="272" t="inlineStr">
        <is>
          <t>Reinicio de servidores</t>
        </is>
      </c>
      <c r="H4" s="121" t="inlineStr">
        <is>
          <t>SERVIDORES</t>
        </is>
      </c>
      <c r="I4" s="173" t="inlineStr">
        <is>
          <t>Se genera snapshot, validan windows update actualizados, se realiza reinicio controlado del servidor, se eliminan snapshot.</t>
        </is>
      </c>
      <c r="J4" s="145" t="n">
        <v>46220.84027777778</v>
      </c>
      <c r="K4" s="179">
        <f>J4-F4</f>
        <v/>
      </c>
      <c r="L4" s="180">
        <f>K4*24*60</f>
        <v/>
      </c>
      <c r="M4" s="180">
        <f>+L4/60</f>
        <v/>
      </c>
    </row>
    <row r="5" ht="15" customFormat="1" customHeight="1" s="137">
      <c r="A5" s="18" t="n">
        <v>3</v>
      </c>
      <c r="B5" s="274" t="inlineStr">
        <is>
          <t xml:space="preserve">alrai.medellin.gov.co    </t>
        </is>
      </c>
      <c r="C5" s="123" t="inlineStr">
        <is>
          <t>Julián David Cataño Sierra / 14:00 - 22:00</t>
        </is>
      </c>
      <c r="D5" s="237" t="inlineStr">
        <is>
          <t>RQ-11721-6-3332</t>
        </is>
      </c>
      <c r="E5" s="125" t="inlineStr">
        <is>
          <t>Reinicio de servidores</t>
        </is>
      </c>
      <c r="F5" s="145" t="n">
        <v>46220.83333333334</v>
      </c>
      <c r="G5" s="272" t="inlineStr">
        <is>
          <t>Reinicio de servidores</t>
        </is>
      </c>
      <c r="H5" s="121" t="inlineStr">
        <is>
          <t>SERVIDORES</t>
        </is>
      </c>
      <c r="I5" s="173" t="inlineStr">
        <is>
          <t>Se genera snapshot, validan windows update actualizados, se realiza reinicio controlado del servidor, se eliminan snapshot.</t>
        </is>
      </c>
      <c r="J5" s="145" t="n">
        <v>46220.84027777778</v>
      </c>
      <c r="K5" s="179">
        <f>J5-F5</f>
        <v/>
      </c>
      <c r="L5" s="180">
        <f>K5*24*60</f>
        <v/>
      </c>
      <c r="M5" s="180">
        <f>+L5/60</f>
        <v/>
      </c>
    </row>
    <row r="6" ht="15" customFormat="1" customHeight="1" s="137">
      <c r="A6" s="18" t="n">
        <v>4</v>
      </c>
      <c r="B6" s="274" t="inlineStr">
        <is>
          <t xml:space="preserve">antares.medellin.gov.co  </t>
        </is>
      </c>
      <c r="C6" s="123" t="inlineStr">
        <is>
          <t>Julián David Cataño Sierra / 14:00 - 22:00</t>
        </is>
      </c>
      <c r="D6" s="237" t="inlineStr">
        <is>
          <t>RQ-11721-6-3332</t>
        </is>
      </c>
      <c r="E6" s="125" t="inlineStr">
        <is>
          <t>Reinicio de servidores</t>
        </is>
      </c>
      <c r="F6" s="145" t="n">
        <v>46220.83333333334</v>
      </c>
      <c r="G6" s="272" t="inlineStr">
        <is>
          <t>Reinicio de servidores</t>
        </is>
      </c>
      <c r="H6" s="121" t="inlineStr">
        <is>
          <t>SERVIDORES</t>
        </is>
      </c>
      <c r="I6" s="173" t="inlineStr">
        <is>
          <t>Se genera snapshot, validan windows update actualizados, se realiza reinicio controlado del servidor, se eliminan snapshot.</t>
        </is>
      </c>
      <c r="J6" s="145" t="n">
        <v>46220.84027777778</v>
      </c>
      <c r="K6" s="179">
        <f>J6-F6</f>
        <v/>
      </c>
      <c r="L6" s="180">
        <f>K6*24*60</f>
        <v/>
      </c>
      <c r="M6" s="180">
        <f>+L6/60</f>
        <v/>
      </c>
    </row>
    <row r="7" ht="15" customFormat="1" customHeight="1" s="137">
      <c r="A7" s="18" t="n">
        <v>5</v>
      </c>
      <c r="B7" s="274" t="inlineStr">
        <is>
          <t xml:space="preserve">archi2.medellin.gov.co   </t>
        </is>
      </c>
      <c r="C7" s="123" t="inlineStr">
        <is>
          <t>Julián David Cataño Sierra / 14:00 - 22:00</t>
        </is>
      </c>
      <c r="D7" s="237" t="inlineStr">
        <is>
          <t>RQ-11721-6-3332</t>
        </is>
      </c>
      <c r="E7" s="125" t="inlineStr">
        <is>
          <t>Reinicio de servidores</t>
        </is>
      </c>
      <c r="F7" s="145" t="n">
        <v>46220.83333333334</v>
      </c>
      <c r="G7" s="272" t="inlineStr">
        <is>
          <t>Reinicio de servidores</t>
        </is>
      </c>
      <c r="H7" s="121" t="inlineStr">
        <is>
          <t>SERVIDORES</t>
        </is>
      </c>
      <c r="I7" s="173" t="inlineStr">
        <is>
          <t>Se genera snapshot, validan windows update actualizados, se realiza reinicio controlado del servidor, se eliminan snapshot.</t>
        </is>
      </c>
      <c r="J7" s="145" t="n">
        <v>46220.84027777778</v>
      </c>
      <c r="K7" s="179">
        <f>J7-F7</f>
        <v/>
      </c>
      <c r="L7" s="180">
        <f>K7*24*60</f>
        <v/>
      </c>
      <c r="M7" s="180">
        <f>+L7/60</f>
        <v/>
      </c>
    </row>
    <row r="8" ht="15" customFormat="1" customHeight="1" s="137">
      <c r="A8" s="18" t="n">
        <v>6</v>
      </c>
      <c r="B8" s="274" t="inlineStr">
        <is>
          <t xml:space="preserve">argos02.medellin.gov.co  </t>
        </is>
      </c>
      <c r="C8" s="123" t="inlineStr">
        <is>
          <t>Julián David Cataño Sierra / 14:00 - 22:00</t>
        </is>
      </c>
      <c r="D8" s="237" t="inlineStr">
        <is>
          <t>RQ-11721-6-3332</t>
        </is>
      </c>
      <c r="E8" s="125" t="inlineStr">
        <is>
          <t>Reinicio de servidores</t>
        </is>
      </c>
      <c r="F8" s="145" t="n">
        <v>46220.83333333334</v>
      </c>
      <c r="G8" s="272" t="inlineStr">
        <is>
          <t>Reinicio de servidores</t>
        </is>
      </c>
      <c r="H8" s="121" t="inlineStr">
        <is>
          <t>SERVIDORES</t>
        </is>
      </c>
      <c r="I8" s="173" t="inlineStr">
        <is>
          <t>Se genera snapshot, validan windows update actualizados, se realiza reinicio controlado del servidor, se eliminan snapshot.</t>
        </is>
      </c>
      <c r="J8" s="145" t="n">
        <v>46220.84027777778</v>
      </c>
      <c r="K8" s="179">
        <f>J8-F8</f>
        <v/>
      </c>
      <c r="L8" s="180">
        <f>K8*24*60</f>
        <v/>
      </c>
      <c r="M8" s="180">
        <f>+L8/60</f>
        <v/>
      </c>
    </row>
    <row r="9" ht="15" customFormat="1" customHeight="1" s="137">
      <c r="A9" s="18" t="n">
        <v>7</v>
      </c>
      <c r="B9" s="274" t="inlineStr">
        <is>
          <t>argos03.medellin.gov.co</t>
        </is>
      </c>
      <c r="C9" s="123" t="inlineStr">
        <is>
          <t>Julián David Cataño Sierra / 14:00 - 22:00</t>
        </is>
      </c>
      <c r="D9" s="237" t="inlineStr">
        <is>
          <t>RQ-11721-6-3332</t>
        </is>
      </c>
      <c r="E9" s="125" t="inlineStr">
        <is>
          <t>Reinicio de servidores</t>
        </is>
      </c>
      <c r="F9" s="145" t="n">
        <v>46220.84027777778</v>
      </c>
      <c r="G9" s="272" t="inlineStr">
        <is>
          <t>Reinicio de servidores</t>
        </is>
      </c>
      <c r="H9" s="121" t="inlineStr">
        <is>
          <t>SERVIDORES</t>
        </is>
      </c>
      <c r="I9" s="173" t="inlineStr">
        <is>
          <t>Se genera snapshot, validan windows update actualizados, se realiza reinicio controlado del servidor, se eliminan snapshot.</t>
        </is>
      </c>
      <c r="J9" s="145" t="n">
        <v>46220.84722222222</v>
      </c>
      <c r="K9" s="179">
        <f>J9-F9</f>
        <v/>
      </c>
      <c r="L9" s="180">
        <f>K9*24*60</f>
        <v/>
      </c>
      <c r="M9" s="180">
        <f>+L9/60</f>
        <v/>
      </c>
    </row>
    <row r="10" ht="15" customFormat="1" customHeight="1" s="137">
      <c r="A10" s="18" t="n">
        <v>8</v>
      </c>
      <c r="B10" s="274" t="inlineStr">
        <is>
          <t>atenas01.medellin.gov.co</t>
        </is>
      </c>
      <c r="C10" s="123" t="inlineStr">
        <is>
          <t>Julián David Cataño Sierra / 14:00 - 22:00</t>
        </is>
      </c>
      <c r="D10" s="237" t="inlineStr">
        <is>
          <t>RQ-11721-6-3332</t>
        </is>
      </c>
      <c r="E10" s="125" t="inlineStr">
        <is>
          <t>Reinicio de servidores</t>
        </is>
      </c>
      <c r="F10" s="145" t="n">
        <v>46220.84027777778</v>
      </c>
      <c r="G10" s="272" t="inlineStr">
        <is>
          <t>Reinicio de servidores</t>
        </is>
      </c>
      <c r="H10" s="121" t="inlineStr">
        <is>
          <t>SERVIDORES</t>
        </is>
      </c>
      <c r="I10" s="173" t="inlineStr">
        <is>
          <t>Se genera snapshot, validan windows update actualizados, se realiza reinicio controlado del servidor, se eliminan snapshot.</t>
        </is>
      </c>
      <c r="J10" s="145" t="n">
        <v>46220.84722222222</v>
      </c>
      <c r="K10" s="179">
        <f>J10-F10</f>
        <v/>
      </c>
      <c r="L10" s="180">
        <f>K10*24*60</f>
        <v/>
      </c>
      <c r="M10" s="180">
        <f>+L10/60</f>
        <v/>
      </c>
    </row>
    <row r="11" ht="15" customFormat="1" customHeight="1" s="137">
      <c r="A11" s="18" t="n">
        <v>9</v>
      </c>
      <c r="B11" s="274" t="inlineStr">
        <is>
          <t>betelgeuse.medellin.gov.co</t>
        </is>
      </c>
      <c r="C11" s="123" t="inlineStr">
        <is>
          <t>Julián David Cataño Sierra / 14:00 - 22:00</t>
        </is>
      </c>
      <c r="D11" s="237" t="inlineStr">
        <is>
          <t>RQ-11721-6-3332</t>
        </is>
      </c>
      <c r="E11" s="125" t="inlineStr">
        <is>
          <t>Reinicio de servidores</t>
        </is>
      </c>
      <c r="F11" s="145" t="n">
        <v>46220.84027777778</v>
      </c>
      <c r="G11" s="272" t="inlineStr">
        <is>
          <t>Reinicio de servidores</t>
        </is>
      </c>
      <c r="H11" s="121" t="inlineStr">
        <is>
          <t>SERVIDORES</t>
        </is>
      </c>
      <c r="I11" s="173" t="inlineStr">
        <is>
          <t>Se genera snapshot, validan windows update actualizados, se realiza reinicio controlado del servidor, se eliminan snapshot.</t>
        </is>
      </c>
      <c r="J11" s="145" t="n">
        <v>46220.84722222222</v>
      </c>
      <c r="K11" s="179">
        <f>J11-F11</f>
        <v/>
      </c>
      <c r="L11" s="256">
        <f>K11*24*60</f>
        <v/>
      </c>
      <c r="M11" s="180">
        <f>+L11/60</f>
        <v/>
      </c>
    </row>
    <row r="12" ht="15" customFormat="1" customHeight="1" s="137">
      <c r="A12" s="18" t="n">
        <v>10</v>
      </c>
      <c r="B12" s="274" t="inlineStr">
        <is>
          <t>circinus.medellin.gov.co</t>
        </is>
      </c>
      <c r="C12" s="123" t="inlineStr">
        <is>
          <t>Julián David Cataño Sierra / 14:00 - 22:00</t>
        </is>
      </c>
      <c r="D12" s="237" t="inlineStr">
        <is>
          <t>RQ-11721-6-3332</t>
        </is>
      </c>
      <c r="E12" s="125" t="inlineStr">
        <is>
          <t>Reinicio de servidores</t>
        </is>
      </c>
      <c r="F12" s="145" t="n">
        <v>46220.84027777778</v>
      </c>
      <c r="G12" s="272" t="inlineStr">
        <is>
          <t>Reinicio de servidores</t>
        </is>
      </c>
      <c r="H12" s="121" t="inlineStr">
        <is>
          <t>SERVIDORES</t>
        </is>
      </c>
      <c r="I12" s="173" t="inlineStr">
        <is>
          <t>Se genera snapshot, validan windows update actualizados, se realiza reinicio controlado del servidor, se eliminan snapshot.</t>
        </is>
      </c>
      <c r="J12" s="145" t="n">
        <v>46220.84722222222</v>
      </c>
      <c r="K12" s="179">
        <f>J12-F12</f>
        <v/>
      </c>
      <c r="L12" s="256">
        <f>K12*24*60</f>
        <v/>
      </c>
      <c r="M12" s="180">
        <f>+L12/60</f>
        <v/>
      </c>
    </row>
    <row r="13" ht="15" customFormat="1" customHeight="1" s="137">
      <c r="A13" s="18" t="n">
        <v>11</v>
      </c>
      <c r="B13" s="274" t="inlineStr">
        <is>
          <t>keila.medellin.gov.co</t>
        </is>
      </c>
      <c r="C13" s="123" t="inlineStr">
        <is>
          <t>Julián David Cataño Sierra / 14:00 - 22:00</t>
        </is>
      </c>
      <c r="D13" s="237" t="inlineStr">
        <is>
          <t>RQ-11721-6-3332</t>
        </is>
      </c>
      <c r="E13" s="125" t="inlineStr">
        <is>
          <t>Reinicio de servidores</t>
        </is>
      </c>
      <c r="F13" s="145" t="n">
        <v>46220.84027777778</v>
      </c>
      <c r="G13" s="272" t="inlineStr">
        <is>
          <t>Reinicio de servidores</t>
        </is>
      </c>
      <c r="H13" s="121" t="inlineStr">
        <is>
          <t>SERVIDORES</t>
        </is>
      </c>
      <c r="I13" s="173" t="inlineStr">
        <is>
          <t>Se genera snapshot, validan windows update actualizados, se realiza reinicio controlado del servidor, se eliminan snapshot.</t>
        </is>
      </c>
      <c r="J13" s="145" t="n">
        <v>46220.84722222222</v>
      </c>
      <c r="K13" s="179">
        <f>J13-F13</f>
        <v/>
      </c>
      <c r="L13" s="256">
        <f>K13*24*60</f>
        <v/>
      </c>
      <c r="M13" s="180">
        <f>+L13/60</f>
        <v/>
      </c>
    </row>
    <row r="14" ht="15" customFormat="1" customHeight="1" s="181">
      <c r="A14" s="18" t="n">
        <v>12</v>
      </c>
      <c r="B14" s="274" t="inlineStr">
        <is>
          <t>lepus.medellin.gov.co</t>
        </is>
      </c>
      <c r="C14" s="123" t="inlineStr">
        <is>
          <t>Julián David Cataño Sierra / 14:00 - 22:00</t>
        </is>
      </c>
      <c r="D14" s="237" t="inlineStr">
        <is>
          <t>RQ-11721-6-3332</t>
        </is>
      </c>
      <c r="E14" s="125" t="inlineStr">
        <is>
          <t>Reinicio de servidores</t>
        </is>
      </c>
      <c r="F14" s="145" t="n">
        <v>46220.84027777778</v>
      </c>
      <c r="G14" s="272" t="inlineStr">
        <is>
          <t>Reinicio de servidores</t>
        </is>
      </c>
      <c r="H14" s="121" t="inlineStr">
        <is>
          <t>SERVIDORES</t>
        </is>
      </c>
      <c r="I14" s="173" t="inlineStr">
        <is>
          <t>Se genera snapshot, validan windows update actualizados, se realiza reinicio controlado del servidor, se eliminan snapshot.</t>
        </is>
      </c>
      <c r="J14" s="145" t="n">
        <v>46220.84722222222</v>
      </c>
      <c r="K14" s="179">
        <f>J14-F14</f>
        <v/>
      </c>
      <c r="L14" s="256">
        <f>K14*24*60</f>
        <v/>
      </c>
      <c r="M14" s="180">
        <f>+L14/60</f>
        <v/>
      </c>
    </row>
    <row r="15" ht="15" customFormat="1" customHeight="1" s="137">
      <c r="A15" s="18" t="n">
        <v>13</v>
      </c>
      <c r="B15" s="274" t="inlineStr">
        <is>
          <t>mercurio01.medellin.gov.co</t>
        </is>
      </c>
      <c r="C15" s="123" t="inlineStr">
        <is>
          <t>Julián David Cataño Sierra / 14:00 - 22:00</t>
        </is>
      </c>
      <c r="D15" s="237" t="inlineStr">
        <is>
          <t>RQ-11721-6-3332</t>
        </is>
      </c>
      <c r="E15" s="125" t="inlineStr">
        <is>
          <t>Reinicio de servidores</t>
        </is>
      </c>
      <c r="F15" s="145" t="n">
        <v>46220.84722222222</v>
      </c>
      <c r="G15" s="272" t="inlineStr">
        <is>
          <t>Reinicio de servidores</t>
        </is>
      </c>
      <c r="H15" s="121" t="inlineStr">
        <is>
          <t>SERVIDORES</t>
        </is>
      </c>
      <c r="I15" s="173" t="inlineStr">
        <is>
          <t>Se genera snapshot, validan windows update actualizados, se realiza reinicio controlado del servidor, se eliminan snapshot.</t>
        </is>
      </c>
      <c r="J15" s="145" t="n">
        <v>46220.85416666666</v>
      </c>
      <c r="K15" s="179">
        <f>J15-F15</f>
        <v/>
      </c>
      <c r="L15" s="256">
        <f>K15*24*60</f>
        <v/>
      </c>
      <c r="M15" s="180">
        <f>+L15/60</f>
        <v/>
      </c>
    </row>
    <row r="16" ht="15" customFormat="1" customHeight="1" s="137">
      <c r="A16" s="18" t="n">
        <v>14</v>
      </c>
      <c r="B16" s="274" t="inlineStr">
        <is>
          <t>mercurio05.medellin.gov.co</t>
        </is>
      </c>
      <c r="C16" s="123" t="inlineStr">
        <is>
          <t>Julián David Cataño Sierra / 14:00 - 22:00</t>
        </is>
      </c>
      <c r="D16" s="237" t="inlineStr">
        <is>
          <t>RQ-11721-6-3332</t>
        </is>
      </c>
      <c r="E16" s="125" t="inlineStr">
        <is>
          <t>Reinicio de servidores</t>
        </is>
      </c>
      <c r="F16" s="145" t="n">
        <v>46220.84722222222</v>
      </c>
      <c r="G16" s="272" t="inlineStr">
        <is>
          <t>Reinicio de servidores</t>
        </is>
      </c>
      <c r="H16" s="121" t="inlineStr">
        <is>
          <t>SERVIDORES</t>
        </is>
      </c>
      <c r="I16" s="173" t="inlineStr">
        <is>
          <t>Se genera snapshot, validan windows update actualizados, se realiza reinicio controlado del servidor, se eliminan snapshot.</t>
        </is>
      </c>
      <c r="J16" s="145" t="n">
        <v>46220.85416666666</v>
      </c>
      <c r="K16" s="179">
        <f>J16-F16</f>
        <v/>
      </c>
      <c r="L16" s="256">
        <f>K16*24*60</f>
        <v/>
      </c>
      <c r="M16" s="180">
        <f>+L16/60</f>
        <v/>
      </c>
    </row>
    <row r="17" ht="15" customFormat="1" customHeight="1" s="137">
      <c r="A17" s="18" t="n">
        <v>15</v>
      </c>
      <c r="B17" s="274" t="inlineStr">
        <is>
          <t>nadir.medellin.gov.co</t>
        </is>
      </c>
      <c r="C17" s="123" t="inlineStr">
        <is>
          <t>Julián David Cataño Sierra / 14:00 - 22:00</t>
        </is>
      </c>
      <c r="D17" s="237" t="inlineStr">
        <is>
          <t>RQ-11721-6-3332</t>
        </is>
      </c>
      <c r="E17" s="125" t="inlineStr">
        <is>
          <t>Reinicio de servidores</t>
        </is>
      </c>
      <c r="F17" s="145" t="n">
        <v>46220.84722222222</v>
      </c>
      <c r="G17" s="272" t="inlineStr">
        <is>
          <t>Reinicio de servidores</t>
        </is>
      </c>
      <c r="H17" s="121" t="inlineStr">
        <is>
          <t>SERVIDORES</t>
        </is>
      </c>
      <c r="I17" s="173" t="inlineStr">
        <is>
          <t>Se genera snapshot, validan windows update actualizados, se realiza reinicio controlado del servidor, se eliminan snapshot.</t>
        </is>
      </c>
      <c r="J17" s="145" t="n">
        <v>46220.85416666666</v>
      </c>
      <c r="K17" s="179">
        <f>J17-F17</f>
        <v/>
      </c>
      <c r="L17" s="180">
        <f>K17*24*60</f>
        <v/>
      </c>
      <c r="M17" s="180">
        <f>+L17/60</f>
        <v/>
      </c>
    </row>
    <row r="18" ht="15" customFormat="1" customHeight="1" s="137">
      <c r="A18" s="18" t="n">
        <v>16</v>
      </c>
      <c r="B18" s="274" t="inlineStr">
        <is>
          <t>orion2dev.medellin.gov.co</t>
        </is>
      </c>
      <c r="C18" s="123" t="inlineStr">
        <is>
          <t>Julián David Cataño Sierra / 14:00 - 22:00</t>
        </is>
      </c>
      <c r="D18" s="237" t="inlineStr">
        <is>
          <t>RQ-11721-6-3332</t>
        </is>
      </c>
      <c r="E18" s="125" t="inlineStr">
        <is>
          <t>Reinicio de servidores</t>
        </is>
      </c>
      <c r="F18" s="145" t="n">
        <v>46220.84722222222</v>
      </c>
      <c r="G18" s="272" t="inlineStr">
        <is>
          <t>Reinicio de servidores</t>
        </is>
      </c>
      <c r="H18" s="121" t="inlineStr">
        <is>
          <t>SERVIDORES</t>
        </is>
      </c>
      <c r="I18" s="173" t="inlineStr">
        <is>
          <t>Se genera snapshot, validan windows update actualizados, se realiza reinicio controlado del servidor, se eliminan snapshot.</t>
        </is>
      </c>
      <c r="J18" s="145" t="n">
        <v>46220.85416666666</v>
      </c>
      <c r="K18" s="179">
        <f>J18-F18</f>
        <v/>
      </c>
      <c r="L18" s="180">
        <f>K18*24*60</f>
        <v/>
      </c>
      <c r="M18" s="180">
        <f>+L18/60</f>
        <v/>
      </c>
    </row>
    <row r="19" ht="15" customFormat="1" customHeight="1" s="137">
      <c r="A19" s="18" t="n">
        <v>17</v>
      </c>
      <c r="B19" s="274" t="inlineStr">
        <is>
          <t>osiris.medellin.gov.co</t>
        </is>
      </c>
      <c r="C19" s="123" t="inlineStr">
        <is>
          <t>Julián David Cataño Sierra / 14:00 - 22:00</t>
        </is>
      </c>
      <c r="D19" s="237" t="inlineStr">
        <is>
          <t>RQ-11721-6-3332</t>
        </is>
      </c>
      <c r="E19" s="125" t="inlineStr">
        <is>
          <t>Reinicio de servidores</t>
        </is>
      </c>
      <c r="F19" s="145" t="n">
        <v>46220.84722222222</v>
      </c>
      <c r="G19" s="272" t="inlineStr">
        <is>
          <t>Reinicio de servidores</t>
        </is>
      </c>
      <c r="H19" s="121" t="inlineStr">
        <is>
          <t>SERVIDORES</t>
        </is>
      </c>
      <c r="I19" s="173" t="inlineStr">
        <is>
          <t>Se genera snapshot, validan windows update actualizados, se realiza reinicio controlado del servidor, se eliminan snapshot.</t>
        </is>
      </c>
      <c r="J19" s="145" t="n">
        <v>46220.85416666666</v>
      </c>
      <c r="K19" s="179">
        <f>J19-F19</f>
        <v/>
      </c>
      <c r="L19" s="180">
        <f>K19*24*60</f>
        <v/>
      </c>
      <c r="M19" s="180">
        <f>+L19/60</f>
        <v/>
      </c>
    </row>
    <row r="20" ht="15" customFormat="1" customHeight="1" s="137">
      <c r="A20" s="18" t="n">
        <v>18</v>
      </c>
      <c r="B20" s="274" t="inlineStr">
        <is>
          <t>servnt_red01.medellin.gov.co</t>
        </is>
      </c>
      <c r="C20" s="123" t="inlineStr">
        <is>
          <t>Julián David Cataño Sierra / 14:00 - 22:00</t>
        </is>
      </c>
      <c r="D20" s="237" t="inlineStr">
        <is>
          <t>RQ-11721-6-3332</t>
        </is>
      </c>
      <c r="E20" s="125" t="inlineStr">
        <is>
          <t>Reinicio de servidores</t>
        </is>
      </c>
      <c r="F20" s="145" t="n">
        <v>46220.84722222222</v>
      </c>
      <c r="G20" s="272" t="inlineStr">
        <is>
          <t>Reinicio de servidores</t>
        </is>
      </c>
      <c r="H20" s="121" t="inlineStr">
        <is>
          <t>SERVIDORES</t>
        </is>
      </c>
      <c r="I20" s="173" t="inlineStr">
        <is>
          <t>Se genera snapshot, validan windows update actualizados, se realiza reinicio controlado del servidor, se eliminan snapshot.</t>
        </is>
      </c>
      <c r="J20" s="145" t="n">
        <v>46220.85416666666</v>
      </c>
      <c r="K20" s="179">
        <f>J20-F20</f>
        <v/>
      </c>
      <c r="L20" s="180">
        <f>K20*24*60</f>
        <v/>
      </c>
      <c r="M20" s="180">
        <f>+L20/60</f>
        <v/>
      </c>
    </row>
    <row r="21" ht="15" customFormat="1" customHeight="1" s="137">
      <c r="A21" s="18" t="n">
        <v>19</v>
      </c>
      <c r="B21" s="274" t="inlineStr">
        <is>
          <t>srvaudisoft.medellin.gov.co</t>
        </is>
      </c>
      <c r="C21" s="123" t="inlineStr">
        <is>
          <t>Julián David Cataño Sierra / 14:00 - 22:00</t>
        </is>
      </c>
      <c r="D21" s="237" t="inlineStr">
        <is>
          <t>RQ-11721-6-3332</t>
        </is>
      </c>
      <c r="E21" s="125" t="inlineStr">
        <is>
          <t>Reinicio de servidores</t>
        </is>
      </c>
      <c r="F21" s="145" t="n">
        <v>46220.85416666666</v>
      </c>
      <c r="G21" s="272" t="inlineStr">
        <is>
          <t>Reinicio de servidores</t>
        </is>
      </c>
      <c r="H21" s="121" t="inlineStr">
        <is>
          <t>SERVIDORES</t>
        </is>
      </c>
      <c r="I21" s="173" t="inlineStr">
        <is>
          <t>Se genera snapshot, validan windows update actualizados, se realiza reinicio controlado del servidor, se eliminan snapshot.</t>
        </is>
      </c>
      <c r="J21" s="145" t="n">
        <v>46220.86111111111</v>
      </c>
      <c r="K21" s="179">
        <f>J21-F21</f>
        <v/>
      </c>
      <c r="L21" s="180">
        <f>K21*24*60</f>
        <v/>
      </c>
      <c r="M21" s="180">
        <f>+L21/60</f>
        <v/>
      </c>
    </row>
    <row r="22" ht="15.6" customFormat="1" customHeight="1" s="137">
      <c r="A22" s="18" t="n">
        <v>20</v>
      </c>
      <c r="B22" s="274" t="inlineStr">
        <is>
          <t>srvcertmun.medellin.gov.co</t>
        </is>
      </c>
      <c r="C22" s="123" t="inlineStr">
        <is>
          <t>Julián David Cataño Sierra / 14:00 - 22:00</t>
        </is>
      </c>
      <c r="D22" s="237" t="inlineStr">
        <is>
          <t>RQ-11721-6-3332</t>
        </is>
      </c>
      <c r="E22" s="125" t="inlineStr">
        <is>
          <t>Reinicio de servidores</t>
        </is>
      </c>
      <c r="F22" s="145" t="n">
        <v>46220.85416666666</v>
      </c>
      <c r="G22" s="272" t="inlineStr">
        <is>
          <t>Reinicio de servidores</t>
        </is>
      </c>
      <c r="H22" s="121" t="inlineStr">
        <is>
          <t>SERVIDORES</t>
        </is>
      </c>
      <c r="I22" s="173" t="inlineStr">
        <is>
          <t>Se genera snapshot, validan windows update actualizados, se realiza reinicio controlado del servidor, se eliminan snapshot.</t>
        </is>
      </c>
      <c r="J22" s="145" t="n">
        <v>46220.86111111111</v>
      </c>
      <c r="K22" s="179">
        <f>J22-F22</f>
        <v/>
      </c>
      <c r="L22" s="180">
        <f>K22*24*60</f>
        <v/>
      </c>
      <c r="M22" s="180">
        <f>+L22/60</f>
        <v/>
      </c>
    </row>
    <row r="23" ht="15.6" customFormat="1" customHeight="1" s="137">
      <c r="A23" s="18" t="n">
        <v>21</v>
      </c>
      <c r="B23" s="275" t="inlineStr">
        <is>
          <t>srvdatainsight.medellin.gov.co</t>
        </is>
      </c>
      <c r="C23" s="123" t="inlineStr">
        <is>
          <t>Julián David Cataño Sierra / 14:00 - 22:00</t>
        </is>
      </c>
      <c r="D23" s="237" t="inlineStr">
        <is>
          <t>RQ-11721-6-3332</t>
        </is>
      </c>
      <c r="E23" s="125" t="inlineStr">
        <is>
          <t>Reinicio de servidores</t>
        </is>
      </c>
      <c r="F23" s="145" t="n">
        <v>46220.85416666666</v>
      </c>
      <c r="G23" s="272" t="inlineStr">
        <is>
          <t>Reinicio de servidores</t>
        </is>
      </c>
      <c r="H23" s="121" t="inlineStr">
        <is>
          <t>SERVIDORES</t>
        </is>
      </c>
      <c r="I23" s="173" t="inlineStr">
        <is>
          <t>Se genera snapshot, validan windows update actualizados, se realiza reinicio controlado del servidor, se eliminan snapshot.</t>
        </is>
      </c>
      <c r="J23" s="145" t="n">
        <v>46220.86111111111</v>
      </c>
      <c r="K23" s="179">
        <f>J23-F23</f>
        <v/>
      </c>
      <c r="L23" s="180">
        <f>K23*24*60</f>
        <v/>
      </c>
      <c r="M23" s="180">
        <f>+L23/60</f>
        <v/>
      </c>
    </row>
    <row r="24" ht="15.6" customFormat="1" customHeight="1" s="137">
      <c r="A24" s="18" t="n">
        <v>22</v>
      </c>
      <c r="B24" s="274" t="inlineStr">
        <is>
          <t>srvliveoptics.medellin.gov.co</t>
        </is>
      </c>
      <c r="C24" s="123" t="inlineStr">
        <is>
          <t>Julián David Cataño Sierra / 14:00 - 22:00</t>
        </is>
      </c>
      <c r="D24" s="237" t="inlineStr">
        <is>
          <t>RQ-11721-6-3332</t>
        </is>
      </c>
      <c r="E24" s="125" t="inlineStr">
        <is>
          <t>Reinicio de servidores</t>
        </is>
      </c>
      <c r="F24" s="145" t="n">
        <v>46220.85416666666</v>
      </c>
      <c r="G24" s="272" t="inlineStr">
        <is>
          <t>Reinicio de servidores</t>
        </is>
      </c>
      <c r="H24" s="121" t="inlineStr">
        <is>
          <t>SERVIDORES</t>
        </is>
      </c>
      <c r="I24" s="173" t="inlineStr">
        <is>
          <t>Se genera snapshot, validan windows update actualizados, se realiza reinicio controlado del servidor, se eliminan snapshot.</t>
        </is>
      </c>
      <c r="J24" s="145" t="n">
        <v>46220.86111111111</v>
      </c>
      <c r="K24" s="179">
        <f>J24-F24</f>
        <v/>
      </c>
      <c r="L24" s="180">
        <f>K24*24*60</f>
        <v/>
      </c>
      <c r="M24" s="180">
        <f>+L24/60</f>
        <v/>
      </c>
    </row>
    <row r="25" ht="15.6" customFormat="1" customHeight="1" s="137">
      <c r="A25" s="18" t="n">
        <v>23</v>
      </c>
      <c r="B25" s="274" t="inlineStr">
        <is>
          <t>srvmainserver.medellin.gov.co</t>
        </is>
      </c>
      <c r="C25" s="123" t="inlineStr">
        <is>
          <t>Julián David Cataño Sierra / 14:00 - 22:00</t>
        </is>
      </c>
      <c r="D25" s="237" t="inlineStr">
        <is>
          <t>RQ-11721-6-3332</t>
        </is>
      </c>
      <c r="E25" s="125" t="inlineStr">
        <is>
          <t>Reinicio de servidores</t>
        </is>
      </c>
      <c r="F25" s="145" t="n">
        <v>46220.85416666666</v>
      </c>
      <c r="G25" s="272" t="inlineStr">
        <is>
          <t>Reinicio de servidores</t>
        </is>
      </c>
      <c r="H25" s="121" t="inlineStr">
        <is>
          <t>SERVIDORES</t>
        </is>
      </c>
      <c r="I25" s="173" t="inlineStr">
        <is>
          <t>Se genera snapshot, validan windows update actualizados, se realiza reinicio controlado del servidor, se eliminan snapshot.</t>
        </is>
      </c>
      <c r="J25" s="145" t="n">
        <v>46220.86111111111</v>
      </c>
      <c r="K25" s="179">
        <f>J25-F25</f>
        <v/>
      </c>
      <c r="L25" s="180">
        <f>K25*24*60</f>
        <v/>
      </c>
      <c r="M25" s="180">
        <f>+L25/60</f>
        <v/>
      </c>
    </row>
    <row r="26" ht="15.6" customFormat="1" customHeight="1" s="137">
      <c r="A26" s="18" t="n">
        <v>24</v>
      </c>
      <c r="B26" s="274" t="inlineStr">
        <is>
          <t>srvmercurio02.medellin.gov.co</t>
        </is>
      </c>
      <c r="C26" s="123" t="inlineStr">
        <is>
          <t>Julián David Cataño Sierra / 14:00 - 22:00</t>
        </is>
      </c>
      <c r="D26" s="237" t="inlineStr">
        <is>
          <t>RQ-11721-6-3332</t>
        </is>
      </c>
      <c r="E26" s="125" t="inlineStr">
        <is>
          <t>Reinicio de servidores</t>
        </is>
      </c>
      <c r="F26" s="145" t="n">
        <v>46220.85416666666</v>
      </c>
      <c r="G26" s="272" t="inlineStr">
        <is>
          <t>Reinicio de servidores</t>
        </is>
      </c>
      <c r="H26" s="121" t="inlineStr">
        <is>
          <t>SERVIDORES</t>
        </is>
      </c>
      <c r="I26" s="173" t="inlineStr">
        <is>
          <t>Se genera snapshot, validan windows update actualizados, se realiza reinicio controlado del servidor, se eliminan snapshot.</t>
        </is>
      </c>
      <c r="J26" s="145" t="n">
        <v>46220.86111111111</v>
      </c>
      <c r="K26" s="179">
        <f>J26-F26</f>
        <v/>
      </c>
      <c r="L26" s="180">
        <f>K26*24*60</f>
        <v/>
      </c>
      <c r="M26" s="180">
        <f>+L26/60</f>
        <v/>
      </c>
    </row>
    <row r="27" ht="15.6" customFormat="1" customHeight="1" s="137">
      <c r="A27" s="18" t="n">
        <v>25</v>
      </c>
      <c r="B27" s="274" t="inlineStr">
        <is>
          <t>srvmercurio8-04.medellin.gov.co</t>
        </is>
      </c>
      <c r="C27" s="123" t="inlineStr">
        <is>
          <t>Julián David Cataño Sierra / 14:00 - 22:00</t>
        </is>
      </c>
      <c r="D27" s="237" t="inlineStr">
        <is>
          <t>RQ-11721-6-3332</t>
        </is>
      </c>
      <c r="E27" s="125" t="inlineStr">
        <is>
          <t>Reinicio de servidores</t>
        </is>
      </c>
      <c r="F27" s="145" t="n">
        <v>46220.86111111111</v>
      </c>
      <c r="G27" s="272" t="inlineStr">
        <is>
          <t>Reinicio de servidores</t>
        </is>
      </c>
      <c r="H27" s="121" t="inlineStr">
        <is>
          <t>SERVIDORES</t>
        </is>
      </c>
      <c r="I27" s="173" t="inlineStr">
        <is>
          <t>Se genera snapshot, validan windows update actualizados, se realiza reinicio controlado del servidor, se eliminan snapshot.</t>
        </is>
      </c>
      <c r="J27" s="145" t="n">
        <v>46220.86111111111</v>
      </c>
      <c r="K27" s="179">
        <f>J27-F27</f>
        <v/>
      </c>
      <c r="L27" s="180">
        <f>K27*24*60</f>
        <v/>
      </c>
      <c r="M27" s="180">
        <f>+L27/60</f>
        <v/>
      </c>
    </row>
    <row r="28" ht="15" customFormat="1" customHeight="1" s="181">
      <c r="A28" s="18" t="n">
        <v>26</v>
      </c>
      <c r="B28" s="274" t="inlineStr">
        <is>
          <t>srvorionidas.medellin.gov.co</t>
        </is>
      </c>
      <c r="C28" s="123" t="inlineStr">
        <is>
          <t>Julián David Cataño Sierra / 14:00 - 22:00</t>
        </is>
      </c>
      <c r="D28" s="237" t="inlineStr">
        <is>
          <t>RQ-11721-6-3332</t>
        </is>
      </c>
      <c r="E28" s="125" t="inlineStr">
        <is>
          <t>Reinicio de servidores</t>
        </is>
      </c>
      <c r="F28" s="145" t="n">
        <v>46220.86111111111</v>
      </c>
      <c r="G28" s="272" t="inlineStr">
        <is>
          <t>Reinicio de servidores</t>
        </is>
      </c>
      <c r="H28" s="121" t="inlineStr">
        <is>
          <t>SERVIDORES</t>
        </is>
      </c>
      <c r="I28" s="173" t="inlineStr">
        <is>
          <t>Se genera snapshot, validan windows update actualizados, se realiza reinicio controlado del servidor, se eliminan snapshot.</t>
        </is>
      </c>
      <c r="J28" s="145" t="n">
        <v>46220.86805555555</v>
      </c>
      <c r="K28" s="127">
        <f>J28-F28</f>
        <v/>
      </c>
      <c r="L28" s="182">
        <f>K28*24*60</f>
        <v/>
      </c>
      <c r="M28" s="182">
        <f>+L28/60</f>
        <v/>
      </c>
    </row>
    <row r="29" ht="15" customFormat="1" customHeight="1" s="181">
      <c r="A29" s="18" t="n">
        <v>27</v>
      </c>
      <c r="B29" s="274" t="inlineStr">
        <is>
          <t>srvscagente2.medellin.gov.co</t>
        </is>
      </c>
      <c r="C29" s="123" t="inlineStr">
        <is>
          <t>Julián David Cataño Sierra / 14:00 - 22:00</t>
        </is>
      </c>
      <c r="D29" s="237" t="inlineStr">
        <is>
          <t>RQ-11721-6-3332</t>
        </is>
      </c>
      <c r="E29" s="125" t="inlineStr">
        <is>
          <t>Reinicio de servidores</t>
        </is>
      </c>
      <c r="F29" s="145" t="n">
        <v>46220.86111111111</v>
      </c>
      <c r="G29" s="272" t="inlineStr">
        <is>
          <t>Reinicio de servidores</t>
        </is>
      </c>
      <c r="H29" s="121" t="inlineStr">
        <is>
          <t>SERVIDORES</t>
        </is>
      </c>
      <c r="I29" s="173" t="inlineStr">
        <is>
          <t>Se genera snapshot, validan windows update actualizados, se realiza reinicio controlado del servidor, se eliminan snapshot.</t>
        </is>
      </c>
      <c r="J29" s="145" t="n">
        <v>46220.86805555555</v>
      </c>
      <c r="K29" s="179">
        <f>J29-F29</f>
        <v/>
      </c>
      <c r="L29" s="180">
        <f>K29*24*60</f>
        <v/>
      </c>
      <c r="M29" s="180">
        <f>+L29/60</f>
        <v/>
      </c>
    </row>
    <row r="30" ht="15" customFormat="1" customHeight="1" s="181">
      <c r="A30" s="18" t="n">
        <v>28</v>
      </c>
      <c r="B30" s="274" t="inlineStr">
        <is>
          <t>srvsqldyna.medellin.gov.co</t>
        </is>
      </c>
      <c r="C30" s="123" t="inlineStr">
        <is>
          <t>Julián David Cataño Sierra / 14:00 - 22:00</t>
        </is>
      </c>
      <c r="D30" s="237" t="inlineStr">
        <is>
          <t>RQ-11721-6-3332</t>
        </is>
      </c>
      <c r="E30" s="125" t="inlineStr">
        <is>
          <t>Reinicio de servidores</t>
        </is>
      </c>
      <c r="F30" s="145" t="n">
        <v>46220.86111111111</v>
      </c>
      <c r="G30" s="272" t="inlineStr">
        <is>
          <t>Reinicio de servidores</t>
        </is>
      </c>
      <c r="H30" s="121" t="inlineStr">
        <is>
          <t>SERVIDORES</t>
        </is>
      </c>
      <c r="I30" s="173" t="inlineStr">
        <is>
          <t>Se genera snapshot, validan windows update actualizados, se realiza reinicio controlado del servidor, se eliminan snapshot.</t>
        </is>
      </c>
      <c r="J30" s="145" t="n">
        <v>46220.86805555555</v>
      </c>
      <c r="K30" s="179">
        <f>J30-F30</f>
        <v/>
      </c>
      <c r="L30" s="180">
        <f>K30*24*60</f>
        <v/>
      </c>
      <c r="M30" s="180">
        <f>+L30/60</f>
        <v/>
      </c>
    </row>
    <row r="31" ht="15" customFormat="1" customHeight="1" s="181">
      <c r="A31" s="18" t="n">
        <v>29</v>
      </c>
      <c r="B31" s="274" t="inlineStr">
        <is>
          <t>srvsqlmercpro.medellin.gov.co</t>
        </is>
      </c>
      <c r="C31" s="123" t="inlineStr">
        <is>
          <t>Julián David Cataño Sierra / 14:00 - 22:00</t>
        </is>
      </c>
      <c r="D31" s="237" t="inlineStr">
        <is>
          <t>RQ-11721-6-3332</t>
        </is>
      </c>
      <c r="E31" s="125" t="inlineStr">
        <is>
          <t>Reinicio de servidores</t>
        </is>
      </c>
      <c r="F31" s="145" t="n">
        <v>46220.86111111111</v>
      </c>
      <c r="G31" s="272" t="inlineStr">
        <is>
          <t>Reinicio de servidores</t>
        </is>
      </c>
      <c r="H31" s="121" t="inlineStr">
        <is>
          <t>SERVIDORES</t>
        </is>
      </c>
      <c r="I31" s="173" t="inlineStr">
        <is>
          <t>Se genera snapshot, validan windows update actualizados, se realiza reinicio controlado del servidor, se eliminan snapshot.</t>
        </is>
      </c>
      <c r="J31" s="145" t="n">
        <v>46220.86805555555</v>
      </c>
      <c r="K31" s="179">
        <f>J31-F31</f>
        <v/>
      </c>
      <c r="L31" s="180">
        <f>K31*24*60</f>
        <v/>
      </c>
      <c r="M31" s="180">
        <f>+L31/60</f>
        <v/>
      </c>
    </row>
    <row r="32" ht="15.6" customFormat="1" customHeight="1" s="163">
      <c r="A32" s="18" t="n">
        <v>30</v>
      </c>
      <c r="B32" s="274" t="inlineStr">
        <is>
          <t>srvsqlreplica02.medellin.gov.co</t>
        </is>
      </c>
      <c r="C32" s="123" t="inlineStr">
        <is>
          <t>Julián David Cataño Sierra / 14:00 - 22:00</t>
        </is>
      </c>
      <c r="D32" s="237" t="inlineStr">
        <is>
          <t>RQ-11721-6-3332</t>
        </is>
      </c>
      <c r="E32" s="125" t="inlineStr">
        <is>
          <t>Reinicio de servidores</t>
        </is>
      </c>
      <c r="F32" s="145" t="n">
        <v>46220.86111111111</v>
      </c>
      <c r="G32" s="272" t="inlineStr">
        <is>
          <t>Reinicio de servidores</t>
        </is>
      </c>
      <c r="H32" s="121" t="inlineStr">
        <is>
          <t>SERVIDORES</t>
        </is>
      </c>
      <c r="I32" s="173" t="inlineStr">
        <is>
          <t>Se genera snapshot, validan windows update actualizados, se realiza reinicio controlado del servidor, se eliminan snapshot.</t>
        </is>
      </c>
      <c r="J32" s="145" t="n">
        <v>46220.86805555555</v>
      </c>
      <c r="K32" s="179">
        <f>J32-F32</f>
        <v/>
      </c>
      <c r="L32" s="180">
        <f>K32*24*60</f>
        <v/>
      </c>
      <c r="M32" s="180">
        <f>+L32/60</f>
        <v/>
      </c>
    </row>
    <row r="33" ht="15.6" customFormat="1" customHeight="1" s="163">
      <c r="A33" s="18" t="n">
        <v>31</v>
      </c>
      <c r="B33" s="274" t="inlineStr">
        <is>
          <t>srvsqlsalud.medellin.gov.co</t>
        </is>
      </c>
      <c r="C33" s="123" t="inlineStr">
        <is>
          <t>Julián David Cataño Sierra / 14:00 - 22:00</t>
        </is>
      </c>
      <c r="D33" s="237" t="inlineStr">
        <is>
          <t>RQ-11721-6-3332</t>
        </is>
      </c>
      <c r="E33" s="125" t="inlineStr">
        <is>
          <t>Reinicio de servidores</t>
        </is>
      </c>
      <c r="F33" s="145" t="n">
        <v>46220.86111111111</v>
      </c>
      <c r="G33" s="272" t="inlineStr">
        <is>
          <t>Reinicio de servidores</t>
        </is>
      </c>
      <c r="H33" s="121" t="inlineStr">
        <is>
          <t>SERVIDORES</t>
        </is>
      </c>
      <c r="I33" s="173" t="inlineStr">
        <is>
          <t>Se genera snapshot, validan windows update actualizados, se realiza reinicio controlado del servidor, se eliminan snapshot.</t>
        </is>
      </c>
      <c r="J33" s="145" t="n">
        <v>46220.86805555555</v>
      </c>
      <c r="K33" s="179">
        <f>J33-F33</f>
        <v/>
      </c>
      <c r="L33" s="180">
        <f>K33*24*60</f>
        <v/>
      </c>
      <c r="M33" s="180">
        <f>+L33/60</f>
        <v/>
      </c>
    </row>
    <row r="34" ht="15.6" customFormat="1" customHeight="1" s="141">
      <c r="A34" s="18" t="n">
        <v>32</v>
      </c>
      <c r="B34" s="274" t="inlineStr">
        <is>
          <t>srvude.medellin.gov.co</t>
        </is>
      </c>
      <c r="C34" s="123" t="inlineStr">
        <is>
          <t>Julián David Cataño Sierra / 14:00 - 22:00</t>
        </is>
      </c>
      <c r="D34" s="237" t="inlineStr">
        <is>
          <t>RQ-11721-6-3332</t>
        </is>
      </c>
      <c r="E34" s="125" t="inlineStr">
        <is>
          <t>Reinicio de servidores</t>
        </is>
      </c>
      <c r="F34" s="145" t="n">
        <v>46220.86805555555</v>
      </c>
      <c r="G34" s="272" t="inlineStr">
        <is>
          <t>Reinicio de servidores</t>
        </is>
      </c>
      <c r="H34" s="121" t="inlineStr">
        <is>
          <t>SERVIDORES</t>
        </is>
      </c>
      <c r="I34" s="173" t="inlineStr">
        <is>
          <t>Se genera snapshot, validan windows update actualizados, se realiza reinicio controlado del servidor, se eliminan snapshot.</t>
        </is>
      </c>
      <c r="J34" s="145" t="n">
        <v>46220.86805555555</v>
      </c>
      <c r="K34" s="179">
        <f>J34-F34</f>
        <v/>
      </c>
      <c r="L34" s="180">
        <f>K34*24*60</f>
        <v/>
      </c>
      <c r="M34" s="180">
        <f>+L34/60</f>
        <v/>
      </c>
      <c r="N34" s="163" t="n"/>
      <c r="O34" s="183" t="n"/>
    </row>
    <row r="35" ht="15.6" customFormat="1" customHeight="1" s="141">
      <c r="A35" s="18" t="n">
        <v>33</v>
      </c>
      <c r="B35" s="274" t="inlineStr">
        <is>
          <t>tirsa.medellin.gov.co</t>
        </is>
      </c>
      <c r="C35" s="123" t="inlineStr">
        <is>
          <t>Julián David Cataño Sierra / 14:00 - 22:00</t>
        </is>
      </c>
      <c r="D35" s="237" t="inlineStr">
        <is>
          <t>RQ-11721-6-3332</t>
        </is>
      </c>
      <c r="E35" s="125" t="inlineStr">
        <is>
          <t>Reinicio de servidores</t>
        </is>
      </c>
      <c r="F35" s="145" t="n">
        <v>46220.86805555555</v>
      </c>
      <c r="G35" s="272" t="inlineStr">
        <is>
          <t>Reinicio de servidores</t>
        </is>
      </c>
      <c r="H35" s="121" t="inlineStr">
        <is>
          <t>SERVIDORES</t>
        </is>
      </c>
      <c r="I35" s="173" t="inlineStr">
        <is>
          <t>Se genera snapshot, validan windows update actualizados, se realiza reinicio controlado del servidor, se eliminan snapshot.</t>
        </is>
      </c>
      <c r="J35" s="145" t="n">
        <v>46220.875</v>
      </c>
      <c r="K35" s="179">
        <f>J35-F35</f>
        <v/>
      </c>
      <c r="L35" s="180">
        <f>K35*24*60</f>
        <v/>
      </c>
      <c r="M35" s="180">
        <f>+L35/60</f>
        <v/>
      </c>
      <c r="N35" s="163" t="n"/>
      <c r="O35" s="183" t="n"/>
    </row>
    <row r="36" ht="15.6" customFormat="1" customHeight="1" s="141">
      <c r="A36" s="18" t="n">
        <v>34</v>
      </c>
      <c r="B36" s="274" t="inlineStr">
        <is>
          <t>vela.medellin.gov.co</t>
        </is>
      </c>
      <c r="C36" s="123" t="inlineStr">
        <is>
          <t>Julián David Cataño Sierra / 14:00 - 22:00</t>
        </is>
      </c>
      <c r="D36" s="237" t="inlineStr">
        <is>
          <t>RQ-11721-6-3332</t>
        </is>
      </c>
      <c r="E36" s="125" t="inlineStr">
        <is>
          <t>Reinicio de servidores</t>
        </is>
      </c>
      <c r="F36" s="145" t="n">
        <v>46220.86805555555</v>
      </c>
      <c r="G36" s="272" t="inlineStr">
        <is>
          <t>Reinicio de servidores</t>
        </is>
      </c>
      <c r="H36" s="121" t="inlineStr">
        <is>
          <t>SERVIDORES</t>
        </is>
      </c>
      <c r="I36" s="173" t="inlineStr">
        <is>
          <t>Se genera snapshot, validan windows update actualizados, se realiza reinicio controlado del servidor, se eliminan snapshot.</t>
        </is>
      </c>
      <c r="J36" s="145" t="n">
        <v>46220.875</v>
      </c>
      <c r="K36" s="179">
        <f>J36-F36</f>
        <v/>
      </c>
      <c r="L36" s="180">
        <f>K36*24*60</f>
        <v/>
      </c>
      <c r="M36" s="180">
        <f>+L36/60</f>
        <v/>
      </c>
      <c r="N36" s="163" t="n"/>
      <c r="O36" s="183" t="n"/>
    </row>
    <row r="37" ht="15.6" customFormat="1" customHeight="1" s="141">
      <c r="A37" s="18" t="n">
        <v>35</v>
      </c>
      <c r="B37" s="274" t="inlineStr">
        <is>
          <t>MERCURIO_ARCO_DEV</t>
        </is>
      </c>
      <c r="C37" s="123" t="inlineStr">
        <is>
          <t>Julián David Cataño Sierra / 14:00 - 22:00</t>
        </is>
      </c>
      <c r="D37" s="237" t="inlineStr">
        <is>
          <t>RQ-11721-6-3332</t>
        </is>
      </c>
      <c r="E37" s="125" t="inlineStr">
        <is>
          <t>Reinicio de servidores</t>
        </is>
      </c>
      <c r="F37" s="145" t="n">
        <v>46220.86805555555</v>
      </c>
      <c r="G37" s="272" t="inlineStr">
        <is>
          <t>Reinicio de servidores</t>
        </is>
      </c>
      <c r="H37" s="121" t="inlineStr">
        <is>
          <t>SERVIDORES</t>
        </is>
      </c>
      <c r="I37" s="173" t="inlineStr">
        <is>
          <t>Se genera snapshot, validan windows update actualizados, se realiza reinicio controlado del servidor, se eliminan snapshot.</t>
        </is>
      </c>
      <c r="J37" s="145" t="n">
        <v>46220.875</v>
      </c>
      <c r="K37" s="179">
        <f>J37-F37</f>
        <v/>
      </c>
      <c r="L37" s="180">
        <f>K37*24*60</f>
        <v/>
      </c>
      <c r="M37" s="180">
        <f>+L37/60</f>
        <v/>
      </c>
      <c r="N37" s="163" t="n"/>
      <c r="O37" s="183" t="n"/>
    </row>
    <row r="38" ht="15.6" customFormat="1" customHeight="1" s="141">
      <c r="A38" s="18" t="n">
        <v>36</v>
      </c>
      <c r="B38" s="274" t="inlineStr">
        <is>
          <t>cuervo</t>
        </is>
      </c>
      <c r="C38" s="123" t="inlineStr">
        <is>
          <t>Julián David Cataño Sierra / 14:00 - 22:00</t>
        </is>
      </c>
      <c r="D38" s="237" t="inlineStr">
        <is>
          <t>RQ-11721-6-3332</t>
        </is>
      </c>
      <c r="E38" s="125" t="inlineStr">
        <is>
          <t>Reinicio de servidores</t>
        </is>
      </c>
      <c r="F38" s="145" t="n">
        <v>46220.86805555555</v>
      </c>
      <c r="G38" s="272" t="inlineStr">
        <is>
          <t>Reinicio de servidores</t>
        </is>
      </c>
      <c r="H38" s="121" t="inlineStr">
        <is>
          <t>SERVIDORES</t>
        </is>
      </c>
      <c r="I38" s="173" t="inlineStr">
        <is>
          <t>Se genera snapshot, validan windows update actualizados, se realiza reinicio controlado del servidor, se eliminan snapshot.</t>
        </is>
      </c>
      <c r="J38" s="145" t="n">
        <v>46220.875</v>
      </c>
      <c r="K38" s="179">
        <f>J38-F38</f>
        <v/>
      </c>
      <c r="L38" s="180">
        <f>K38*24*60</f>
        <v/>
      </c>
      <c r="M38" s="180">
        <f>+L38/60</f>
        <v/>
      </c>
      <c r="N38" s="163" t="n"/>
      <c r="O38" s="183" t="n"/>
    </row>
    <row r="39" ht="15" customFormat="1" customHeight="1" s="185" thickBot="1">
      <c r="A39" s="18" t="n">
        <v>37</v>
      </c>
      <c r="B39" s="274" t="inlineStr">
        <is>
          <t>crater</t>
        </is>
      </c>
      <c r="C39" s="123" t="inlineStr">
        <is>
          <t>Julián David Cataño Sierra / 14:00 - 22:00</t>
        </is>
      </c>
      <c r="D39" s="237" t="inlineStr">
        <is>
          <t>RQ-11721-6-3332</t>
        </is>
      </c>
      <c r="E39" s="125" t="inlineStr">
        <is>
          <t>Reinicio de servidores</t>
        </is>
      </c>
      <c r="F39" s="145" t="n">
        <v>46220.86805555555</v>
      </c>
      <c r="G39" s="272" t="inlineStr">
        <is>
          <t>Reinicio de servidores</t>
        </is>
      </c>
      <c r="H39" s="121" t="inlineStr">
        <is>
          <t>SERVIDORES</t>
        </is>
      </c>
      <c r="I39" s="173" t="inlineStr">
        <is>
          <t>Se genera snapshot, validan windows update actualizados, se realiza reinicio controlado del servidor, se eliminan snapshot.</t>
        </is>
      </c>
      <c r="J39" s="145" t="n">
        <v>46220.875</v>
      </c>
      <c r="K39" s="179">
        <f>J39-F39</f>
        <v/>
      </c>
      <c r="L39" s="180">
        <f>K39*24*60</f>
        <v/>
      </c>
      <c r="M39" s="180">
        <f>+L39/60</f>
        <v/>
      </c>
      <c r="N39" s="163" t="n"/>
      <c r="O39" s="184" t="n"/>
    </row>
    <row r="40" ht="15.95" customFormat="1" customHeight="1" s="187" thickBot="1">
      <c r="A40" s="18" t="n">
        <v>38</v>
      </c>
      <c r="B40" s="274" t="inlineStr">
        <is>
          <t>sirilanka</t>
        </is>
      </c>
      <c r="C40" s="123" t="inlineStr">
        <is>
          <t>Julián David Cataño Sierra / 14:00 - 22:00</t>
        </is>
      </c>
      <c r="D40" s="237" t="inlineStr">
        <is>
          <t>RQ-11721-6-3332</t>
        </is>
      </c>
      <c r="E40" s="125" t="inlineStr">
        <is>
          <t>Reinicio de servidores</t>
        </is>
      </c>
      <c r="F40" s="145" t="n">
        <v>46220.86805555555</v>
      </c>
      <c r="G40" s="272" t="inlineStr">
        <is>
          <t>Reinicio de servidores</t>
        </is>
      </c>
      <c r="H40" s="121" t="inlineStr">
        <is>
          <t>SERVIDORES</t>
        </is>
      </c>
      <c r="I40" s="173" t="inlineStr">
        <is>
          <t>Se genera snapshot, validan windows update actualizados, se realiza reinicio controlado del servidor, se eliminan snapshot.</t>
        </is>
      </c>
      <c r="J40" s="145" t="n">
        <v>46220.875</v>
      </c>
      <c r="K40" s="179">
        <f>J40-F40</f>
        <v/>
      </c>
      <c r="L40" s="180">
        <f>K40*24*60</f>
        <v/>
      </c>
      <c r="M40" s="180">
        <f>+L40/60</f>
        <v/>
      </c>
      <c r="N40" s="163" t="n"/>
      <c r="O40" s="186" t="n"/>
    </row>
    <row r="41" ht="15.95" customFormat="1" customHeight="1" s="187" thickBot="1">
      <c r="A41" s="18" t="n">
        <v>39</v>
      </c>
      <c r="B41" s="274" t="inlineStr">
        <is>
          <t>Falla de acceso a ADManager - Alrai</t>
        </is>
      </c>
      <c r="C41" s="123" t="inlineStr">
        <is>
          <t>Julián David Cataño Sierra / 06:00 - 14:00</t>
        </is>
      </c>
      <c r="D41" s="237" t="inlineStr">
        <is>
          <t>IM-15507-6-2355</t>
        </is>
      </c>
      <c r="E41" s="238" t="inlineStr">
        <is>
          <t>Bloqueo ADManager</t>
        </is>
      </c>
      <c r="F41" s="125" t="n">
        <v>46224.29861111111</v>
      </c>
      <c r="G41" s="129" t="inlineStr">
        <is>
          <t>Desconexion</t>
        </is>
      </c>
      <c r="H41" s="121" t="inlineStr">
        <is>
          <t>SERVIDORES</t>
        </is>
      </c>
      <c r="I41" s="129" t="inlineStr">
        <is>
          <t>Se verifica VPN, se verifica cortafuegos, revisando el servidor se encontraba bloqueado por reinicios pendiente, se reinicia el sistema y se hacen pruebas, se evidencia acceso a la plataforma y se verifica que halla conexión todo ok.</t>
        </is>
      </c>
      <c r="J41" s="125" t="n">
        <v>46224.32777777778</v>
      </c>
      <c r="K41" s="179">
        <f>J41-F41</f>
        <v/>
      </c>
      <c r="L41" s="180">
        <f>K41*24*60</f>
        <v/>
      </c>
      <c r="M41" s="180">
        <f>+L41/60</f>
        <v/>
      </c>
      <c r="N41" s="163" t="n"/>
      <c r="O41" s="186" t="n"/>
    </row>
    <row r="42" ht="15.95" customFormat="1" customHeight="1" s="187" thickBot="1">
      <c r="A42" s="18" t="n">
        <v>40</v>
      </c>
      <c r="B42" s="2" t="n"/>
      <c r="C42" s="123" t="n"/>
      <c r="D42" s="237" t="n"/>
      <c r="E42" s="238" t="n"/>
      <c r="F42" s="125" t="n"/>
      <c r="G42" s="129" t="n"/>
      <c r="H42" s="121" t="n"/>
      <c r="I42" s="129" t="n"/>
      <c r="J42" s="125" t="n"/>
      <c r="K42" s="179">
        <f>J42-F42</f>
        <v/>
      </c>
      <c r="L42" s="180">
        <f>K42*24*60</f>
        <v/>
      </c>
      <c r="M42" s="180">
        <f>+L42/60</f>
        <v/>
      </c>
      <c r="N42" s="163" t="n"/>
      <c r="O42" s="186" t="n"/>
    </row>
    <row r="43" ht="15.95" customFormat="1" customHeight="1" s="187" thickBot="1">
      <c r="A43" s="18" t="n">
        <v>41</v>
      </c>
      <c r="B43" s="2" t="n"/>
      <c r="C43" s="123" t="n"/>
      <c r="D43" s="237" t="n"/>
      <c r="E43" s="238" t="n"/>
      <c r="F43" s="125" t="n"/>
      <c r="G43" s="129" t="n"/>
      <c r="H43" s="121" t="n"/>
      <c r="I43" s="129" t="n"/>
      <c r="J43" s="125" t="n"/>
      <c r="K43" s="179">
        <f>J43-F43</f>
        <v/>
      </c>
      <c r="L43" s="180">
        <f>K43*24*60</f>
        <v/>
      </c>
      <c r="M43" s="180">
        <f>+L43/60</f>
        <v/>
      </c>
      <c r="N43" s="163" t="n"/>
      <c r="O43" s="186" t="n"/>
    </row>
    <row r="44" ht="15.95" customFormat="1" customHeight="1" s="187" thickBot="1">
      <c r="A44" s="18" t="n">
        <v>42</v>
      </c>
      <c r="B44" s="2" t="n"/>
      <c r="C44" s="123" t="n"/>
      <c r="D44" s="237" t="n"/>
      <c r="E44" s="238" t="n"/>
      <c r="F44" s="125" t="n"/>
      <c r="G44" s="129" t="n"/>
      <c r="H44" s="121" t="n"/>
      <c r="I44" s="129" t="n"/>
      <c r="J44" s="125" t="n"/>
      <c r="K44" s="179">
        <f>J44-F44</f>
        <v/>
      </c>
      <c r="L44" s="180">
        <f>K44*24*60</f>
        <v/>
      </c>
      <c r="M44" s="180">
        <f>+L44/60</f>
        <v/>
      </c>
      <c r="N44" s="163" t="n"/>
      <c r="O44" s="186" t="n"/>
    </row>
    <row r="45" ht="15.95" customFormat="1" customHeight="1" s="187" thickBot="1">
      <c r="A45" s="18" t="n">
        <v>43</v>
      </c>
      <c r="B45" s="2" t="n"/>
      <c r="C45" s="123" t="n"/>
      <c r="D45" s="237" t="n"/>
      <c r="E45" s="238" t="n"/>
      <c r="F45" s="125" t="n"/>
      <c r="G45" s="129" t="n"/>
      <c r="H45" s="121" t="n"/>
      <c r="I45" s="129" t="n"/>
      <c r="J45" s="125" t="n"/>
      <c r="K45" s="179">
        <f>J45-F45</f>
        <v/>
      </c>
      <c r="L45" s="180">
        <f>K45*24*60</f>
        <v/>
      </c>
      <c r="M45" s="180">
        <f>+L45/60</f>
        <v/>
      </c>
      <c r="N45" s="163" t="n"/>
      <c r="O45" s="186" t="n"/>
    </row>
    <row r="46" ht="15.95" customFormat="1" customHeight="1" s="187" thickBot="1">
      <c r="A46" s="18" t="n">
        <v>44</v>
      </c>
      <c r="B46" s="2" t="n"/>
      <c r="C46" s="123" t="n"/>
      <c r="D46" s="237" t="n"/>
      <c r="E46" s="238" t="n"/>
      <c r="F46" s="125" t="n"/>
      <c r="G46" s="129" t="n"/>
      <c r="H46" s="121" t="n"/>
      <c r="I46" s="129" t="n"/>
      <c r="J46" s="125" t="n"/>
      <c r="K46" s="179">
        <f>J46-F46</f>
        <v/>
      </c>
      <c r="L46" s="180">
        <f>K46*24*60</f>
        <v/>
      </c>
      <c r="M46" s="180">
        <f>+L46/60</f>
        <v/>
      </c>
      <c r="N46" s="163" t="n"/>
      <c r="O46" s="186" t="n"/>
    </row>
    <row r="47" ht="15.95" customFormat="1" customHeight="1" s="187" thickBot="1">
      <c r="A47" s="18" t="n">
        <v>45</v>
      </c>
      <c r="B47" s="2" t="n"/>
      <c r="C47" s="123" t="n"/>
      <c r="D47" s="237" t="n"/>
      <c r="E47" s="238" t="n"/>
      <c r="F47" s="125" t="n"/>
      <c r="G47" s="129" t="n"/>
      <c r="H47" s="121" t="n"/>
      <c r="I47" s="129" t="n"/>
      <c r="J47" s="125" t="n"/>
      <c r="K47" s="179">
        <f>J47-F47</f>
        <v/>
      </c>
      <c r="L47" s="180">
        <f>K47*24*60</f>
        <v/>
      </c>
      <c r="M47" s="180">
        <f>+L47/60</f>
        <v/>
      </c>
      <c r="N47" s="163" t="n"/>
      <c r="O47" s="186" t="n"/>
    </row>
    <row r="48" ht="15.95" customFormat="1" customHeight="1" s="187" thickBot="1">
      <c r="A48" s="18" t="n">
        <v>46</v>
      </c>
      <c r="B48" s="2" t="n"/>
      <c r="C48" s="123" t="n"/>
      <c r="D48" s="237" t="n"/>
      <c r="E48" s="238" t="n"/>
      <c r="F48" s="125" t="n"/>
      <c r="G48" s="129" t="n"/>
      <c r="H48" s="121" t="n"/>
      <c r="I48" s="129" t="n"/>
      <c r="J48" s="125" t="n"/>
      <c r="K48" s="179">
        <f>J48-F48</f>
        <v/>
      </c>
      <c r="L48" s="180">
        <f>K48*24*60</f>
        <v/>
      </c>
      <c r="M48" s="180">
        <f>+L48/60</f>
        <v/>
      </c>
      <c r="N48" s="163" t="n"/>
      <c r="O48" s="186" t="n"/>
    </row>
    <row r="49" ht="15.95" customFormat="1" customHeight="1" s="187" thickBot="1">
      <c r="A49" s="18" t="n">
        <v>47</v>
      </c>
      <c r="B49" s="2" t="n"/>
      <c r="C49" s="123" t="n"/>
      <c r="D49" s="237" t="n"/>
      <c r="E49" s="238" t="n"/>
      <c r="F49" s="125" t="n"/>
      <c r="G49" s="129" t="n"/>
      <c r="H49" s="121" t="n"/>
      <c r="I49" s="129" t="n"/>
      <c r="J49" s="125" t="n"/>
      <c r="K49" s="179">
        <f>J49-F49</f>
        <v/>
      </c>
      <c r="L49" s="180">
        <f>K49*24*60</f>
        <v/>
      </c>
      <c r="M49" s="180">
        <f>+L49/60</f>
        <v/>
      </c>
      <c r="N49" s="163" t="n"/>
      <c r="O49" s="186" t="n"/>
    </row>
    <row r="50" ht="15.95" customFormat="1" customHeight="1" s="187" thickBot="1">
      <c r="A50" s="18" t="n">
        <v>48</v>
      </c>
      <c r="B50" s="2" t="n"/>
      <c r="C50" s="123" t="n"/>
      <c r="D50" s="237" t="n"/>
      <c r="E50" s="238" t="n"/>
      <c r="F50" s="125" t="n"/>
      <c r="G50" s="129" t="n"/>
      <c r="H50" s="121" t="n"/>
      <c r="I50" s="129" t="n"/>
      <c r="J50" s="125" t="n"/>
      <c r="K50" s="179">
        <f>J50-F50</f>
        <v/>
      </c>
      <c r="L50" s="180">
        <f>K50*24*60</f>
        <v/>
      </c>
      <c r="M50" s="180">
        <f>+L50/60</f>
        <v/>
      </c>
      <c r="N50" s="163" t="n"/>
      <c r="O50" s="186" t="n"/>
    </row>
    <row r="51" ht="15.95" customFormat="1" customHeight="1" s="187" thickBot="1">
      <c r="A51" s="18" t="n">
        <v>49</v>
      </c>
      <c r="B51" s="2" t="n"/>
      <c r="C51" s="123" t="n"/>
      <c r="D51" s="237" t="n"/>
      <c r="E51" s="238" t="n"/>
      <c r="F51" s="125" t="n"/>
      <c r="G51" s="129" t="n"/>
      <c r="H51" s="121" t="n"/>
      <c r="I51" s="129" t="n"/>
      <c r="J51" s="125" t="n"/>
      <c r="K51" s="179">
        <f>J51-F51</f>
        <v/>
      </c>
      <c r="L51" s="180">
        <f>K51*24*60</f>
        <v/>
      </c>
      <c r="M51" s="180">
        <f>+L51/60</f>
        <v/>
      </c>
      <c r="N51" s="163" t="n"/>
      <c r="O51" s="186" t="n"/>
    </row>
    <row r="52" ht="15.95" customFormat="1" customHeight="1" s="187" thickBot="1">
      <c r="A52" s="18" t="n">
        <v>50</v>
      </c>
      <c r="B52" s="2" t="n"/>
      <c r="C52" s="123" t="n"/>
      <c r="D52" s="237" t="n"/>
      <c r="E52" s="238" t="n"/>
      <c r="F52" s="125" t="n"/>
      <c r="G52" s="129" t="n"/>
      <c r="H52" s="121" t="n"/>
      <c r="I52" s="129" t="n"/>
      <c r="J52" s="125" t="n"/>
      <c r="K52" s="179">
        <f>J52-F52</f>
        <v/>
      </c>
      <c r="L52" s="180">
        <f>K52*24*60</f>
        <v/>
      </c>
      <c r="M52" s="180">
        <f>+L52/60</f>
        <v/>
      </c>
      <c r="N52" s="163" t="n"/>
      <c r="O52" s="186" t="n"/>
    </row>
    <row r="53" ht="15.95" customFormat="1" customHeight="1" s="187" thickBot="1">
      <c r="A53" s="18" t="n">
        <v>51</v>
      </c>
      <c r="B53" s="2" t="n"/>
      <c r="C53" s="123" t="n"/>
      <c r="D53" s="237" t="n"/>
      <c r="E53" s="238" t="n"/>
      <c r="F53" s="125" t="n"/>
      <c r="G53" s="129" t="n"/>
      <c r="H53" s="121" t="n"/>
      <c r="I53" s="129" t="n"/>
      <c r="J53" s="125" t="n"/>
      <c r="K53" s="179">
        <f>J53-F53</f>
        <v/>
      </c>
      <c r="L53" s="180">
        <f>K53*24*60</f>
        <v/>
      </c>
      <c r="M53" s="180">
        <f>+L53/60</f>
        <v/>
      </c>
      <c r="N53" s="163" t="n"/>
      <c r="O53" s="186" t="n"/>
    </row>
    <row r="54" ht="15.95" customFormat="1" customHeight="1" s="187" thickBot="1">
      <c r="A54" s="18" t="n">
        <v>52</v>
      </c>
      <c r="B54" s="2" t="n"/>
      <c r="C54" s="123" t="n"/>
      <c r="D54" s="237" t="n"/>
      <c r="E54" s="238" t="n"/>
      <c r="F54" s="125" t="n"/>
      <c r="G54" s="129" t="n"/>
      <c r="H54" s="121" t="n"/>
      <c r="I54" s="129" t="n"/>
      <c r="J54" s="125" t="n"/>
      <c r="K54" s="179">
        <f>J54-F54</f>
        <v/>
      </c>
      <c r="L54" s="180">
        <f>K54*24*60</f>
        <v/>
      </c>
      <c r="M54" s="180">
        <f>+L54/60</f>
        <v/>
      </c>
      <c r="N54" s="163" t="n"/>
      <c r="O54" s="186" t="n"/>
    </row>
    <row r="55" ht="15.95" customFormat="1" customHeight="1" s="187" thickBot="1">
      <c r="A55" s="18" t="n">
        <v>53</v>
      </c>
      <c r="B55" s="2" t="n"/>
      <c r="C55" s="123" t="n"/>
      <c r="D55" s="237" t="n"/>
      <c r="E55" s="238" t="n"/>
      <c r="F55" s="125" t="n"/>
      <c r="G55" s="129" t="n"/>
      <c r="H55" s="121" t="n"/>
      <c r="I55" s="129" t="n"/>
      <c r="J55" s="125" t="n"/>
      <c r="K55" s="179">
        <f>J55-F55</f>
        <v/>
      </c>
      <c r="L55" s="180">
        <f>K55*24*60</f>
        <v/>
      </c>
      <c r="M55" s="180">
        <f>+L55/60</f>
        <v/>
      </c>
      <c r="N55" s="163" t="n"/>
      <c r="O55" s="186" t="n"/>
    </row>
    <row r="56" ht="15.95" customFormat="1" customHeight="1" s="187" thickBot="1">
      <c r="A56" s="18" t="n">
        <v>54</v>
      </c>
      <c r="B56" s="250" t="n"/>
      <c r="C56" s="123" t="n"/>
      <c r="D56" s="231" t="n"/>
      <c r="E56" s="238" t="n"/>
      <c r="F56" s="154" t="n"/>
      <c r="G56" s="129" t="n"/>
      <c r="H56" s="121" t="n"/>
      <c r="I56" s="2" t="n"/>
      <c r="J56" s="154" t="n"/>
      <c r="K56" s="179">
        <f>J56-F56</f>
        <v/>
      </c>
      <c r="L56" s="180">
        <f>K56*24*60</f>
        <v/>
      </c>
      <c r="M56" s="180">
        <f>+L56/60</f>
        <v/>
      </c>
      <c r="N56" s="163" t="n"/>
      <c r="O56" s="186" t="n"/>
    </row>
    <row r="57" ht="15.95" customFormat="1" customHeight="1" s="187" thickBot="1">
      <c r="A57" s="18" t="n">
        <v>55</v>
      </c>
      <c r="B57" s="250" t="n"/>
      <c r="C57" s="242" t="n"/>
      <c r="D57" s="243" t="n"/>
      <c r="E57" s="244" t="n"/>
      <c r="F57" s="245" t="n"/>
      <c r="G57" s="242" t="n"/>
      <c r="H57" s="246" t="n"/>
      <c r="I57" s="247" t="n"/>
      <c r="J57" s="248" t="n"/>
      <c r="K57" s="249">
        <f>J57-F57</f>
        <v/>
      </c>
      <c r="L57" s="180">
        <f>K57*24*60</f>
        <v/>
      </c>
      <c r="M57" s="180">
        <f>+L57/60</f>
        <v/>
      </c>
      <c r="N57" s="163" t="n"/>
      <c r="O57" s="186" t="n"/>
    </row>
    <row r="58" ht="15.95" customFormat="1" customHeight="1" s="187" thickBot="1">
      <c r="A58" s="18" t="n">
        <v>56</v>
      </c>
      <c r="B58" s="251" t="n"/>
      <c r="C58" s="123" t="n"/>
      <c r="D58" s="243" t="n"/>
      <c r="E58" s="238" t="n"/>
      <c r="F58" s="154" t="n"/>
      <c r="G58" s="129" t="n"/>
      <c r="H58" s="246" t="n"/>
      <c r="I58" s="129" t="n"/>
      <c r="J58" s="248" t="n"/>
      <c r="K58" s="179">
        <f>J58-F58</f>
        <v/>
      </c>
      <c r="L58" s="180">
        <f>K58*24*60</f>
        <v/>
      </c>
      <c r="M58" s="180">
        <f>+L58/60</f>
        <v/>
      </c>
      <c r="N58" s="163" t="n"/>
      <c r="O58" s="186" t="n"/>
    </row>
    <row r="59" ht="15.95" customFormat="1" customHeight="1" s="187" thickBot="1">
      <c r="A59" s="18" t="n">
        <v>57</v>
      </c>
      <c r="B59" s="251" t="n"/>
      <c r="C59" s="123" t="n"/>
      <c r="D59" s="243" t="n"/>
      <c r="E59" s="238" t="n"/>
      <c r="F59" s="154" t="n"/>
      <c r="G59" s="129" t="n"/>
      <c r="H59" s="246" t="n"/>
      <c r="I59" s="129" t="n"/>
      <c r="J59" s="248" t="n"/>
      <c r="K59" s="179">
        <f>J59-F59</f>
        <v/>
      </c>
      <c r="L59" s="180">
        <f>K59*24*60</f>
        <v/>
      </c>
      <c r="M59" s="180">
        <f>+L59/60</f>
        <v/>
      </c>
      <c r="N59" s="163" t="n"/>
      <c r="O59" s="186" t="n"/>
    </row>
    <row r="60" ht="15.6" customFormat="1" customHeight="1" s="187">
      <c r="A60" s="18" t="n">
        <v>58</v>
      </c>
      <c r="B60" s="251" t="n"/>
      <c r="C60" s="123" t="n"/>
      <c r="D60" s="243" t="n"/>
      <c r="E60" s="238" t="n"/>
      <c r="F60" s="154" t="n"/>
      <c r="G60" s="129" t="n"/>
      <c r="H60" s="246" t="n"/>
      <c r="I60" s="129" t="n"/>
      <c r="J60" s="248" t="n"/>
      <c r="K60" s="179">
        <f>J60-F60</f>
        <v/>
      </c>
      <c r="L60" s="180">
        <f>K60*24*60</f>
        <v/>
      </c>
      <c r="M60" s="180">
        <f>+L60/60</f>
        <v/>
      </c>
      <c r="N60" s="163" t="n"/>
      <c r="O60" s="186" t="n"/>
    </row>
    <row r="61" ht="15.6" customFormat="1" customHeight="1" s="163">
      <c r="A61" s="18" t="n">
        <v>59</v>
      </c>
      <c r="B61" s="251" t="n"/>
      <c r="C61" s="123" t="n"/>
      <c r="D61" s="243" t="n"/>
      <c r="E61" s="238" t="n"/>
      <c r="F61" s="154" t="n"/>
      <c r="G61" s="129" t="n"/>
      <c r="H61" s="246" t="n"/>
      <c r="I61" s="129" t="n"/>
      <c r="J61" s="248" t="n"/>
      <c r="K61" s="179">
        <f>J61-F61</f>
        <v/>
      </c>
      <c r="L61" s="180">
        <f>K61*24*60</f>
        <v/>
      </c>
      <c r="M61" s="180">
        <f>+L61/60</f>
        <v/>
      </c>
    </row>
    <row r="62" ht="15.6" customFormat="1" customHeight="1" s="163">
      <c r="A62" s="18" t="n">
        <v>60</v>
      </c>
      <c r="B62" s="251" t="n"/>
      <c r="C62" s="123" t="n"/>
      <c r="D62" s="243" t="n"/>
      <c r="E62" s="238" t="n"/>
      <c r="F62" s="154" t="n"/>
      <c r="G62" s="129" t="n"/>
      <c r="H62" s="246" t="n"/>
      <c r="I62" s="129" t="n"/>
      <c r="J62" s="248" t="n"/>
      <c r="K62" s="179">
        <f>J62-F62</f>
        <v/>
      </c>
      <c r="L62" s="180">
        <f>K62*24*60</f>
        <v/>
      </c>
      <c r="M62" s="180">
        <f>+L62/60</f>
        <v/>
      </c>
    </row>
    <row r="63" ht="15.6" customFormat="1" customHeight="1" s="163">
      <c r="A63" s="18" t="n">
        <v>61</v>
      </c>
      <c r="B63" s="251" t="n"/>
      <c r="C63" s="123" t="n"/>
      <c r="D63" s="243" t="n"/>
      <c r="E63" s="238" t="n"/>
      <c r="F63" s="154" t="n"/>
      <c r="G63" s="129" t="n"/>
      <c r="H63" s="246" t="n"/>
      <c r="I63" s="129" t="n"/>
      <c r="J63" s="248" t="n"/>
      <c r="K63" s="179">
        <f>J63-F63</f>
        <v/>
      </c>
      <c r="L63" s="180">
        <f>K63*24*60</f>
        <v/>
      </c>
      <c r="M63" s="180">
        <f>+L63/60</f>
        <v/>
      </c>
    </row>
    <row r="64" ht="15.6" customFormat="1" customHeight="1" s="163">
      <c r="A64" s="18" t="n">
        <v>62</v>
      </c>
      <c r="B64" s="251" t="n"/>
      <c r="C64" s="123" t="n"/>
      <c r="D64" s="243" t="n"/>
      <c r="E64" s="238" t="n"/>
      <c r="F64" s="154" t="n"/>
      <c r="G64" s="129" t="n"/>
      <c r="H64" s="246" t="n"/>
      <c r="I64" s="129" t="n"/>
      <c r="J64" s="248" t="n"/>
      <c r="K64" s="179">
        <f>J64-F64</f>
        <v/>
      </c>
      <c r="L64" s="180">
        <f>K64*24*60</f>
        <v/>
      </c>
      <c r="M64" s="180">
        <f>+L64/60</f>
        <v/>
      </c>
    </row>
    <row r="65" ht="15.6" customFormat="1" customHeight="1" s="163">
      <c r="A65" s="18" t="n">
        <v>63</v>
      </c>
      <c r="B65" s="251" t="n"/>
      <c r="C65" s="123" t="n"/>
      <c r="D65" s="243" t="n"/>
      <c r="E65" s="238" t="n"/>
      <c r="F65" s="154" t="n"/>
      <c r="G65" s="129" t="n"/>
      <c r="H65" s="246" t="n"/>
      <c r="I65" s="129" t="n"/>
      <c r="J65" s="248" t="n"/>
      <c r="K65" s="179">
        <f>J65-F65</f>
        <v/>
      </c>
      <c r="L65" s="180">
        <f>K65*24*60</f>
        <v/>
      </c>
      <c r="M65" s="180">
        <f>+L65/60</f>
        <v/>
      </c>
    </row>
    <row r="66" ht="15.6" customFormat="1" customHeight="1" s="163">
      <c r="A66" s="18" t="n">
        <v>64</v>
      </c>
      <c r="B66" s="251" t="n"/>
      <c r="C66" s="123" t="n"/>
      <c r="D66" s="243" t="n"/>
      <c r="E66" s="238" t="n"/>
      <c r="F66" s="154" t="n"/>
      <c r="G66" s="129" t="n"/>
      <c r="H66" s="246" t="n"/>
      <c r="I66" s="129" t="n"/>
      <c r="J66" s="248" t="n"/>
      <c r="K66" s="179">
        <f>J66-F66</f>
        <v/>
      </c>
      <c r="L66" s="180">
        <f>K66*24*60</f>
        <v/>
      </c>
      <c r="M66" s="180">
        <f>+L66/60</f>
        <v/>
      </c>
    </row>
    <row r="67" ht="15.6" customFormat="1" customHeight="1" s="163">
      <c r="A67" s="18" t="n">
        <v>65</v>
      </c>
      <c r="B67" s="251" t="n"/>
      <c r="C67" s="123" t="n"/>
      <c r="D67" s="243" t="n"/>
      <c r="E67" s="238" t="n"/>
      <c r="F67" s="154" t="n"/>
      <c r="G67" s="129" t="n"/>
      <c r="H67" s="246" t="n"/>
      <c r="I67" s="247" t="n"/>
      <c r="J67" s="154" t="n"/>
      <c r="K67" s="179">
        <f>J67-F67</f>
        <v/>
      </c>
      <c r="L67" s="180">
        <f>K67*24*60</f>
        <v/>
      </c>
      <c r="M67" s="180">
        <f>+L67/60</f>
        <v/>
      </c>
    </row>
    <row r="68" ht="15.6" customFormat="1" customHeight="1" s="163">
      <c r="A68" s="18" t="n">
        <v>66</v>
      </c>
      <c r="B68" s="251" t="n"/>
      <c r="C68" s="123" t="n"/>
      <c r="D68" s="243" t="n"/>
      <c r="E68" s="238" t="n"/>
      <c r="F68" s="154" t="n"/>
      <c r="G68" s="129" t="n"/>
      <c r="H68" s="246" t="n"/>
      <c r="I68" s="129" t="n"/>
      <c r="J68" s="248" t="n"/>
      <c r="K68" s="179">
        <f>J68-F68</f>
        <v/>
      </c>
      <c r="L68" s="180">
        <f>K68*24*60</f>
        <v/>
      </c>
      <c r="M68" s="180">
        <f>+L68/60</f>
        <v/>
      </c>
    </row>
    <row r="69" ht="15.6" customFormat="1" customHeight="1" s="163">
      <c r="A69" s="18" t="n">
        <v>67</v>
      </c>
      <c r="B69" s="251" t="n"/>
      <c r="C69" s="123" t="n"/>
      <c r="D69" s="243" t="n"/>
      <c r="E69" s="238" t="n"/>
      <c r="F69" s="154" t="n"/>
      <c r="G69" s="129" t="n"/>
      <c r="H69" s="246" t="n"/>
      <c r="I69" s="129" t="n"/>
      <c r="J69" s="248" t="n"/>
      <c r="K69" s="179">
        <f>J69-F69</f>
        <v/>
      </c>
      <c r="L69" s="180">
        <f>K69*24*60</f>
        <v/>
      </c>
      <c r="M69" s="180">
        <f>+L69/60</f>
        <v/>
      </c>
    </row>
    <row r="70" ht="15.6" customFormat="1" customHeight="1" s="163">
      <c r="A70" s="18" t="n">
        <v>68</v>
      </c>
      <c r="B70" s="251" t="n"/>
      <c r="C70" s="123" t="n"/>
      <c r="D70" s="243" t="n"/>
      <c r="E70" s="238" t="n"/>
      <c r="F70" s="154" t="n"/>
      <c r="G70" s="129" t="n"/>
      <c r="H70" s="246" t="n"/>
      <c r="I70" s="129" t="n"/>
      <c r="J70" s="248" t="n"/>
      <c r="K70" s="179">
        <f>J70-F70</f>
        <v/>
      </c>
      <c r="L70" s="180">
        <f>K70*24*60</f>
        <v/>
      </c>
      <c r="M70" s="180">
        <f>+L70/60</f>
        <v/>
      </c>
    </row>
    <row r="71" ht="15.6" customFormat="1" customHeight="1" s="163">
      <c r="A71" s="18" t="n">
        <v>69</v>
      </c>
      <c r="B71" s="251" t="n"/>
      <c r="C71" s="123" t="n"/>
      <c r="D71" s="243" t="n"/>
      <c r="E71" s="238" t="n"/>
      <c r="F71" s="154" t="n"/>
      <c r="G71" s="129" t="n"/>
      <c r="H71" s="246" t="n"/>
      <c r="I71" s="129" t="n"/>
      <c r="J71" s="248" t="n"/>
      <c r="K71" s="179">
        <f>J71-F71</f>
        <v/>
      </c>
      <c r="L71" s="180">
        <f>K71*24*60</f>
        <v/>
      </c>
      <c r="M71" s="180">
        <f>+L71/60</f>
        <v/>
      </c>
    </row>
    <row r="72" ht="15.6" customFormat="1" customHeight="1" s="164">
      <c r="A72" s="18" t="n">
        <v>70</v>
      </c>
      <c r="B72" s="251" t="n"/>
      <c r="C72" s="123" t="n"/>
      <c r="D72" s="243" t="n"/>
      <c r="E72" s="238" t="n"/>
      <c r="F72" s="154" t="n"/>
      <c r="G72" s="129" t="n"/>
      <c r="H72" s="246" t="n"/>
      <c r="I72" s="129" t="n"/>
      <c r="J72" s="248" t="n"/>
      <c r="K72" s="127">
        <f>J72-F72</f>
        <v/>
      </c>
      <c r="L72" s="182">
        <f>K72*24*60</f>
        <v/>
      </c>
      <c r="M72" s="182">
        <f>+L72/60</f>
        <v/>
      </c>
    </row>
    <row r="73" ht="15.6" customFormat="1" customHeight="1" s="163">
      <c r="A73" s="18" t="n">
        <v>71</v>
      </c>
      <c r="B73" s="251" t="n"/>
      <c r="C73" s="123" t="n"/>
      <c r="D73" s="243" t="n"/>
      <c r="E73" s="238" t="n"/>
      <c r="F73" s="154" t="n"/>
      <c r="G73" s="129" t="n"/>
      <c r="H73" s="246" t="n"/>
      <c r="I73" s="129" t="n"/>
      <c r="J73" s="248" t="n"/>
      <c r="K73" s="179">
        <f>J73-F73</f>
        <v/>
      </c>
      <c r="L73" s="180">
        <f>K73*24*60</f>
        <v/>
      </c>
      <c r="M73" s="180">
        <f>+L73/60</f>
        <v/>
      </c>
    </row>
    <row r="74" ht="15.6" customFormat="1" customHeight="1" s="163">
      <c r="A74" s="18" t="n">
        <v>72</v>
      </c>
      <c r="B74" s="251" t="n"/>
      <c r="C74" s="123" t="n"/>
      <c r="D74" s="243" t="n"/>
      <c r="E74" s="238" t="n"/>
      <c r="F74" s="154" t="n"/>
      <c r="G74" s="129" t="n"/>
      <c r="H74" s="246" t="n"/>
      <c r="I74" s="247" t="n"/>
      <c r="J74" s="154" t="n"/>
      <c r="K74" s="179">
        <f>J74-F74</f>
        <v/>
      </c>
      <c r="L74" s="180">
        <f>K74*24*60</f>
        <v/>
      </c>
      <c r="M74" s="180">
        <f>+L74/60</f>
        <v/>
      </c>
    </row>
    <row r="75" ht="15.6" customFormat="1" customHeight="1" s="163">
      <c r="A75" s="18" t="n">
        <v>73</v>
      </c>
      <c r="B75" s="251" t="n"/>
      <c r="C75" s="123" t="n"/>
      <c r="D75" s="243" t="n"/>
      <c r="E75" s="238" t="n"/>
      <c r="F75" s="154" t="n"/>
      <c r="G75" s="129" t="n"/>
      <c r="H75" s="246" t="n"/>
      <c r="I75" s="247" t="n"/>
      <c r="J75" s="154" t="n"/>
      <c r="K75" s="179">
        <f>J75-F75</f>
        <v/>
      </c>
      <c r="L75" s="180">
        <f>K75*24*60</f>
        <v/>
      </c>
      <c r="M75" s="180">
        <f>+L75/60</f>
        <v/>
      </c>
    </row>
    <row r="76" ht="15.6" customFormat="1" customHeight="1" s="163">
      <c r="A76" s="18" t="n">
        <v>74</v>
      </c>
      <c r="B76" s="251" t="n"/>
      <c r="C76" s="123" t="n"/>
      <c r="D76" s="243" t="n"/>
      <c r="E76" s="238" t="n"/>
      <c r="F76" s="154" t="n"/>
      <c r="G76" s="129" t="n"/>
      <c r="H76" s="246" t="n"/>
      <c r="I76" s="129" t="n"/>
      <c r="J76" s="248" t="n"/>
      <c r="K76" s="179">
        <f>J76-F76</f>
        <v/>
      </c>
      <c r="L76" s="180">
        <f>K76*24*60</f>
        <v/>
      </c>
      <c r="M76" s="180">
        <f>+L76/60</f>
        <v/>
      </c>
    </row>
    <row r="77" ht="15.6" customFormat="1" customHeight="1" s="163">
      <c r="A77" s="18" t="n">
        <v>75</v>
      </c>
      <c r="B77" s="251" t="n"/>
      <c r="C77" s="123" t="n"/>
      <c r="D77" s="243" t="n"/>
      <c r="E77" s="238" t="n"/>
      <c r="F77" s="154" t="n"/>
      <c r="G77" s="129" t="n"/>
      <c r="H77" s="246" t="n"/>
      <c r="I77" s="129" t="n"/>
      <c r="J77" s="248" t="n"/>
      <c r="K77" s="179">
        <f>J77-F77</f>
        <v/>
      </c>
      <c r="L77" s="180">
        <f>K77*24*60</f>
        <v/>
      </c>
      <c r="M77" s="180">
        <f>+L77/60</f>
        <v/>
      </c>
    </row>
    <row r="78" ht="15.6" customFormat="1" customHeight="1" s="163">
      <c r="A78" s="18" t="n">
        <v>76</v>
      </c>
      <c r="B78" s="251" t="n"/>
      <c r="C78" s="123" t="n"/>
      <c r="D78" s="243" t="n"/>
      <c r="E78" s="238" t="n"/>
      <c r="F78" s="154" t="n"/>
      <c r="G78" s="129" t="n"/>
      <c r="H78" s="246" t="n"/>
      <c r="I78" s="129" t="n"/>
      <c r="J78" s="248" t="n"/>
      <c r="K78" s="179">
        <f>J78-F78</f>
        <v/>
      </c>
      <c r="L78" s="180">
        <f>K78*24*60</f>
        <v/>
      </c>
      <c r="M78" s="180">
        <f>+L78/60</f>
        <v/>
      </c>
    </row>
    <row r="79" ht="15.6" customFormat="1" customHeight="1" s="163">
      <c r="A79" s="18" t="n">
        <v>77</v>
      </c>
      <c r="B79" s="251" t="n"/>
      <c r="C79" s="123" t="n"/>
      <c r="D79" s="243" t="n"/>
      <c r="E79" s="238" t="n"/>
      <c r="F79" s="154" t="n"/>
      <c r="G79" s="129" t="n"/>
      <c r="H79" s="246" t="n"/>
      <c r="I79" s="129" t="n"/>
      <c r="J79" s="248" t="n"/>
      <c r="K79" s="179">
        <f>J79-F79</f>
        <v/>
      </c>
      <c r="L79" s="180">
        <f>K79*24*60</f>
        <v/>
      </c>
      <c r="M79" s="180">
        <f>+L79/60</f>
        <v/>
      </c>
    </row>
    <row r="80" ht="15.6" customFormat="1" customHeight="1" s="163">
      <c r="A80" s="18" t="n">
        <v>78</v>
      </c>
      <c r="B80" s="251" t="n"/>
      <c r="C80" s="123" t="n"/>
      <c r="D80" s="243" t="n"/>
      <c r="E80" s="238" t="n"/>
      <c r="F80" s="154" t="n"/>
      <c r="G80" s="129" t="n"/>
      <c r="H80" s="246" t="n"/>
      <c r="I80" s="129" t="n"/>
      <c r="J80" s="248" t="n"/>
      <c r="K80" s="179">
        <f>J80-F80</f>
        <v/>
      </c>
      <c r="L80" s="180">
        <f>K80*24*60</f>
        <v/>
      </c>
      <c r="M80" s="180">
        <f>+L80/60</f>
        <v/>
      </c>
    </row>
    <row r="81" ht="15.6" customFormat="1" customHeight="1" s="163">
      <c r="A81" s="18" t="n">
        <v>79</v>
      </c>
      <c r="B81" s="251" t="n"/>
      <c r="C81" s="123" t="n"/>
      <c r="D81" s="243" t="n"/>
      <c r="E81" s="238" t="n"/>
      <c r="F81" s="154" t="n"/>
      <c r="G81" s="129" t="n"/>
      <c r="H81" s="246" t="n"/>
      <c r="I81" s="247" t="n"/>
      <c r="J81" s="154" t="n"/>
      <c r="K81" s="179">
        <f>J81-F81</f>
        <v/>
      </c>
      <c r="L81" s="180">
        <f>K81*24*60</f>
        <v/>
      </c>
      <c r="M81" s="180">
        <f>+L81/60</f>
        <v/>
      </c>
    </row>
    <row r="82" ht="15.6" customFormat="1" customHeight="1" s="163">
      <c r="A82" s="18" t="n">
        <v>80</v>
      </c>
      <c r="B82" s="251" t="n"/>
      <c r="C82" s="123" t="n"/>
      <c r="D82" s="243" t="n"/>
      <c r="E82" s="238" t="n"/>
      <c r="F82" s="154" t="n"/>
      <c r="G82" s="129" t="n"/>
      <c r="H82" s="246" t="n"/>
      <c r="I82" s="129" t="n"/>
      <c r="J82" s="248" t="n"/>
      <c r="K82" s="179">
        <f>J82-F82</f>
        <v/>
      </c>
      <c r="L82" s="180">
        <f>K82*24*60</f>
        <v/>
      </c>
      <c r="M82" s="180">
        <f>+L82/60</f>
        <v/>
      </c>
    </row>
    <row r="83" ht="15.6" customFormat="1" customHeight="1" s="163">
      <c r="A83" s="18" t="n">
        <v>81</v>
      </c>
      <c r="B83" s="251" t="n"/>
      <c r="C83" s="123" t="n"/>
      <c r="D83" s="243" t="n"/>
      <c r="E83" s="238" t="n"/>
      <c r="F83" s="154" t="n"/>
      <c r="G83" s="129" t="n"/>
      <c r="H83" s="246" t="n"/>
      <c r="I83" s="129" t="n"/>
      <c r="J83" s="248" t="n"/>
      <c r="K83" s="179">
        <f>J83-F83</f>
        <v/>
      </c>
      <c r="L83" s="180">
        <f>K83*24*60</f>
        <v/>
      </c>
      <c r="M83" s="180">
        <f>+L83/60</f>
        <v/>
      </c>
    </row>
    <row r="84" ht="15.6" customFormat="1" customHeight="1" s="163">
      <c r="A84" s="18" t="n">
        <v>82</v>
      </c>
      <c r="B84" s="251" t="n"/>
      <c r="C84" s="123" t="n"/>
      <c r="D84" s="243" t="n"/>
      <c r="E84" s="238" t="n"/>
      <c r="F84" s="154" t="n"/>
      <c r="G84" s="129" t="n"/>
      <c r="H84" s="246" t="n"/>
      <c r="I84" s="129" t="n"/>
      <c r="J84" s="248" t="n"/>
      <c r="K84" s="179">
        <f>J84-F84</f>
        <v/>
      </c>
      <c r="L84" s="180">
        <f>K84*24*60</f>
        <v/>
      </c>
      <c r="M84" s="180">
        <f>+L84/60</f>
        <v/>
      </c>
    </row>
    <row r="85" ht="15.6" customFormat="1" customHeight="1" s="163">
      <c r="A85" s="18" t="n">
        <v>83</v>
      </c>
      <c r="B85" s="251" t="n"/>
      <c r="C85" s="123" t="n"/>
      <c r="D85" s="243" t="n"/>
      <c r="E85" s="238" t="n"/>
      <c r="F85" s="154" t="n"/>
      <c r="G85" s="129" t="n"/>
      <c r="H85" s="246" t="n"/>
      <c r="I85" s="129" t="n"/>
      <c r="J85" s="248" t="n"/>
      <c r="K85" s="179">
        <f>J85-F85</f>
        <v/>
      </c>
      <c r="L85" s="180">
        <f>K78*24*60</f>
        <v/>
      </c>
      <c r="M85" s="180">
        <f>K78*24</f>
        <v/>
      </c>
    </row>
    <row r="86" ht="15.6" customFormat="1" customHeight="1" s="163">
      <c r="A86" s="18" t="n">
        <v>84</v>
      </c>
      <c r="B86" s="251" t="n"/>
      <c r="C86" s="123" t="n"/>
      <c r="D86" s="243" t="n"/>
      <c r="E86" s="238" t="n"/>
      <c r="F86" s="154" t="n"/>
      <c r="G86" s="129" t="n"/>
      <c r="H86" s="246" t="n"/>
      <c r="I86" s="247" t="n"/>
      <c r="J86" s="154" t="n"/>
      <c r="K86" s="179">
        <f>J86-F86</f>
        <v/>
      </c>
      <c r="L86" s="180">
        <f>K79*24*60</f>
        <v/>
      </c>
      <c r="M86" s="180">
        <f>K79*24</f>
        <v/>
      </c>
    </row>
    <row r="87" ht="15.6" customFormat="1" customHeight="1" s="163">
      <c r="A87" s="18" t="n">
        <v>85</v>
      </c>
      <c r="B87" s="251" t="n"/>
      <c r="C87" s="123" t="n"/>
      <c r="D87" s="243" t="n"/>
      <c r="E87" s="238" t="n"/>
      <c r="F87" s="154" t="n"/>
      <c r="G87" s="129" t="n"/>
      <c r="H87" s="246" t="n"/>
      <c r="I87" s="129" t="n"/>
      <c r="J87" s="248" t="n"/>
      <c r="K87" s="179">
        <f>J87-F87</f>
        <v/>
      </c>
      <c r="L87" s="180">
        <f>K80*24*60</f>
        <v/>
      </c>
      <c r="M87" s="180">
        <f>K80*24</f>
        <v/>
      </c>
    </row>
    <row r="88" ht="15.6" customFormat="1" customHeight="1" s="163">
      <c r="A88" s="18" t="n">
        <v>86</v>
      </c>
      <c r="B88" s="251" t="n"/>
      <c r="C88" s="123" t="n"/>
      <c r="D88" s="243" t="n"/>
      <c r="E88" s="238" t="n"/>
      <c r="F88" s="154" t="n"/>
      <c r="G88" s="129" t="n"/>
      <c r="H88" s="246" t="n"/>
      <c r="I88" s="129" t="n"/>
      <c r="J88" s="248" t="n"/>
      <c r="K88" s="179">
        <f>J88-F88</f>
        <v/>
      </c>
      <c r="L88" s="180">
        <f>K81*24*60</f>
        <v/>
      </c>
      <c r="M88" s="180">
        <f>K81*24</f>
        <v/>
      </c>
    </row>
    <row r="89" ht="15.6" customFormat="1" customHeight="1" s="163">
      <c r="A89" s="18" t="n">
        <v>87</v>
      </c>
      <c r="B89" s="251" t="n"/>
      <c r="C89" s="123" t="n"/>
      <c r="D89" s="243" t="n"/>
      <c r="E89" s="238" t="n"/>
      <c r="F89" s="154" t="n"/>
      <c r="G89" s="129" t="n"/>
      <c r="H89" s="246" t="n"/>
      <c r="I89" s="129" t="n"/>
      <c r="J89" s="248" t="n"/>
      <c r="K89" s="179">
        <f>J89-F89</f>
        <v/>
      </c>
      <c r="L89" s="180">
        <f>K82*24*60</f>
        <v/>
      </c>
      <c r="M89" s="180">
        <f>K82*24</f>
        <v/>
      </c>
    </row>
    <row r="90" ht="15.6" customFormat="1" customHeight="1" s="163">
      <c r="A90" s="18" t="n">
        <v>88</v>
      </c>
      <c r="B90" s="251" t="n"/>
      <c r="C90" s="123" t="n"/>
      <c r="D90" s="243" t="n"/>
      <c r="E90" s="238" t="n"/>
      <c r="F90" s="154" t="n"/>
      <c r="G90" s="129" t="n"/>
      <c r="H90" s="246" t="n"/>
      <c r="I90" s="129" t="n"/>
      <c r="J90" s="248" t="n"/>
      <c r="K90" s="179">
        <f>J90-F90</f>
        <v/>
      </c>
      <c r="L90" s="180">
        <f>K83*24*60</f>
        <v/>
      </c>
      <c r="M90" s="180">
        <f>K83*24</f>
        <v/>
      </c>
    </row>
    <row r="91" ht="15.6" customFormat="1" customHeight="1" s="163">
      <c r="A91" s="18" t="n">
        <v>89</v>
      </c>
      <c r="B91" s="251" t="n"/>
      <c r="C91" s="123" t="n"/>
      <c r="D91" s="243" t="n"/>
      <c r="E91" s="238" t="n"/>
      <c r="F91" s="154" t="n"/>
      <c r="G91" s="129" t="n"/>
      <c r="H91" s="246" t="n"/>
      <c r="I91" s="247" t="n"/>
      <c r="J91" s="154" t="n"/>
      <c r="K91" s="179">
        <f>J91-F91</f>
        <v/>
      </c>
      <c r="L91" s="180">
        <f>K84*24*60</f>
        <v/>
      </c>
      <c r="M91" s="180">
        <f>K84*24</f>
        <v/>
      </c>
    </row>
    <row r="92" ht="15.6" customFormat="1" customHeight="1" s="163">
      <c r="A92" s="18" t="n">
        <v>90</v>
      </c>
      <c r="B92" s="251" t="n"/>
      <c r="C92" s="123" t="n"/>
      <c r="D92" s="243" t="n"/>
      <c r="E92" s="238" t="n"/>
      <c r="F92" s="154" t="n"/>
      <c r="G92" s="129" t="n"/>
      <c r="H92" s="246" t="n"/>
      <c r="I92" s="247" t="n"/>
      <c r="J92" s="154" t="n"/>
      <c r="K92" s="179">
        <f>J92-F92</f>
        <v/>
      </c>
      <c r="L92" s="180">
        <f>K86*24*60</f>
        <v/>
      </c>
      <c r="M92" s="180">
        <f>K86*24</f>
        <v/>
      </c>
    </row>
    <row r="93" ht="15.6" customFormat="1" customHeight="1" s="163">
      <c r="A93" s="18" t="n">
        <v>91</v>
      </c>
      <c r="B93" s="251" t="n"/>
      <c r="C93" s="123" t="n"/>
      <c r="D93" s="243" t="n"/>
      <c r="E93" s="238" t="n"/>
      <c r="F93" s="154" t="n"/>
      <c r="G93" s="129" t="n"/>
      <c r="H93" s="246" t="n"/>
      <c r="I93" s="129" t="n"/>
      <c r="J93" s="248" t="n"/>
      <c r="K93" s="179">
        <f>J93-F93</f>
        <v/>
      </c>
      <c r="L93" s="180">
        <f>K87*24*60</f>
        <v/>
      </c>
      <c r="M93" s="180">
        <f>K87*24</f>
        <v/>
      </c>
    </row>
    <row r="94" ht="15.6" customFormat="1" customHeight="1" s="163">
      <c r="A94" s="18" t="n">
        <v>92</v>
      </c>
      <c r="B94" s="251" t="n"/>
      <c r="C94" s="123" t="n"/>
      <c r="D94" s="243" t="n"/>
      <c r="E94" s="238" t="n"/>
      <c r="F94" s="154" t="n"/>
      <c r="G94" s="129" t="n"/>
      <c r="H94" s="246" t="n"/>
      <c r="I94" s="129" t="n"/>
      <c r="J94" s="248" t="n"/>
      <c r="K94" s="179">
        <f>J94-F94</f>
        <v/>
      </c>
      <c r="L94" s="180">
        <f>K88*24*60</f>
        <v/>
      </c>
      <c r="M94" s="180">
        <f>K88*24</f>
        <v/>
      </c>
    </row>
    <row r="95" ht="15.6" customFormat="1" customHeight="1" s="163">
      <c r="A95" s="18" t="n">
        <v>93</v>
      </c>
      <c r="B95" s="251" t="n"/>
      <c r="C95" s="123" t="n"/>
      <c r="D95" s="243" t="n"/>
      <c r="E95" s="238" t="n"/>
      <c r="F95" s="154" t="n"/>
      <c r="G95" s="129" t="n"/>
      <c r="H95" s="246" t="n"/>
      <c r="I95" s="129" t="n"/>
      <c r="J95" s="248" t="n"/>
      <c r="K95" s="179">
        <f>J95-F95</f>
        <v/>
      </c>
      <c r="L95" s="180">
        <f>K89*24*60</f>
        <v/>
      </c>
      <c r="M95" s="180">
        <f>K89*24</f>
        <v/>
      </c>
    </row>
    <row r="96" ht="15.6" customFormat="1" customHeight="1" s="163">
      <c r="A96" s="18" t="n">
        <v>94</v>
      </c>
      <c r="B96" s="251" t="n"/>
      <c r="C96" s="123" t="n"/>
      <c r="D96" s="243" t="n"/>
      <c r="E96" s="238" t="n"/>
      <c r="F96" s="154" t="n"/>
      <c r="G96" s="129" t="n"/>
      <c r="H96" s="246" t="n"/>
      <c r="I96" s="129" t="n"/>
      <c r="J96" s="248" t="n"/>
      <c r="K96" s="179">
        <f>J96-F96</f>
        <v/>
      </c>
      <c r="L96" s="180">
        <f>K90*24*60</f>
        <v/>
      </c>
      <c r="M96" s="180">
        <f>K90*24</f>
        <v/>
      </c>
    </row>
    <row r="97" ht="15.6" customFormat="1" customHeight="1" s="163">
      <c r="A97" s="18" t="n">
        <v>95</v>
      </c>
      <c r="B97" s="251" t="n"/>
      <c r="C97" s="123" t="n"/>
      <c r="D97" s="243" t="n"/>
      <c r="E97" s="238" t="n"/>
      <c r="F97" s="154" t="n"/>
      <c r="G97" s="129" t="n"/>
      <c r="H97" s="246" t="n"/>
      <c r="I97" s="247" t="n"/>
      <c r="J97" s="154" t="n"/>
      <c r="K97" s="179">
        <f>J97-F97</f>
        <v/>
      </c>
      <c r="L97" s="180">
        <f>K91*24*60</f>
        <v/>
      </c>
      <c r="M97" s="180">
        <f>K91*24</f>
        <v/>
      </c>
    </row>
    <row r="98" ht="15.6" customFormat="1" customHeight="1" s="163">
      <c r="A98" s="190" t="n">
        <v>96</v>
      </c>
      <c r="B98" s="251" t="n"/>
      <c r="C98" s="123" t="n"/>
      <c r="D98" s="243" t="n"/>
      <c r="E98" s="238" t="n"/>
      <c r="F98" s="154" t="n"/>
      <c r="G98" s="129" t="n"/>
      <c r="H98" s="246" t="n"/>
      <c r="I98" s="129" t="n"/>
      <c r="J98" s="248" t="n"/>
      <c r="K98" s="179">
        <f>J98-F98</f>
        <v/>
      </c>
      <c r="L98" s="180">
        <f>K92*24*60</f>
        <v/>
      </c>
      <c r="M98" s="180">
        <f>K92*24</f>
        <v/>
      </c>
    </row>
    <row r="99" ht="15.6" customFormat="1" customHeight="1" s="163">
      <c r="A99" s="190" t="n">
        <v>97</v>
      </c>
      <c r="B99" s="251" t="n"/>
      <c r="C99" s="123" t="n"/>
      <c r="D99" s="243" t="n"/>
      <c r="E99" s="238" t="n"/>
      <c r="F99" s="154" t="n"/>
      <c r="G99" s="129" t="n"/>
      <c r="H99" s="246" t="n"/>
      <c r="I99" s="129" t="n"/>
      <c r="J99" s="248" t="n"/>
      <c r="K99" s="179">
        <f>J99-F99</f>
        <v/>
      </c>
      <c r="L99" s="180">
        <f>K93*24*60</f>
        <v/>
      </c>
      <c r="M99" s="180">
        <f>K93*24</f>
        <v/>
      </c>
    </row>
    <row r="100" ht="15.6" customFormat="1" customHeight="1" s="163">
      <c r="A100" s="190" t="n">
        <v>98</v>
      </c>
      <c r="B100" s="251" t="n"/>
      <c r="C100" s="123" t="n"/>
      <c r="D100" s="243" t="n"/>
      <c r="E100" s="238" t="n"/>
      <c r="F100" s="154" t="n"/>
      <c r="G100" s="129" t="n"/>
      <c r="H100" s="246" t="n"/>
      <c r="I100" s="129" t="n"/>
      <c r="J100" s="248" t="n"/>
      <c r="K100" s="179">
        <f>J100-F100</f>
        <v/>
      </c>
      <c r="L100" s="180">
        <f>K94*24*60</f>
        <v/>
      </c>
      <c r="M100" s="180">
        <f>K94*24</f>
        <v/>
      </c>
    </row>
    <row r="101" ht="15.6" customFormat="1" customHeight="1" s="163">
      <c r="A101" s="190" t="n">
        <v>99</v>
      </c>
      <c r="B101" s="251" t="n"/>
      <c r="C101" s="123" t="n"/>
      <c r="D101" s="243" t="n"/>
      <c r="E101" s="238" t="n"/>
      <c r="F101" s="154" t="n"/>
      <c r="G101" s="129" t="n"/>
      <c r="H101" s="246" t="n"/>
      <c r="I101" s="129" t="n"/>
      <c r="J101" s="248" t="n"/>
      <c r="K101" s="179">
        <f>J101-F101</f>
        <v/>
      </c>
      <c r="L101" s="180">
        <f>K95*24*60</f>
        <v/>
      </c>
      <c r="M101" s="180">
        <f>K95*24</f>
        <v/>
      </c>
    </row>
    <row r="102" ht="15.6" customFormat="1" customHeight="1" s="163">
      <c r="A102" s="190" t="n">
        <v>100</v>
      </c>
      <c r="B102" s="251" t="n"/>
      <c r="C102" s="123" t="n"/>
      <c r="D102" s="243" t="n"/>
      <c r="E102" s="238" t="n"/>
      <c r="F102" s="154" t="n"/>
      <c r="G102" s="129" t="n"/>
      <c r="H102" s="246" t="n"/>
      <c r="I102" s="129" t="n"/>
      <c r="J102" s="248" t="n"/>
      <c r="K102" s="179">
        <f>J102-F102</f>
        <v/>
      </c>
      <c r="L102" s="180">
        <f>K96*24*60</f>
        <v/>
      </c>
      <c r="M102" s="180">
        <f>K96*24</f>
        <v/>
      </c>
    </row>
    <row r="103" ht="15.6" customFormat="1" customHeight="1" s="163">
      <c r="A103" s="190" t="n">
        <v>101</v>
      </c>
      <c r="B103" s="251" t="n"/>
      <c r="C103" s="123" t="n"/>
      <c r="D103" s="243" t="n"/>
      <c r="E103" s="238" t="n"/>
      <c r="F103" s="154" t="n"/>
      <c r="G103" s="129" t="n"/>
      <c r="H103" s="246" t="n"/>
      <c r="I103" s="129" t="n"/>
      <c r="J103" s="248" t="n"/>
      <c r="K103" s="179">
        <f>J103-F103</f>
        <v/>
      </c>
      <c r="L103" s="180">
        <f>K97*24*60</f>
        <v/>
      </c>
      <c r="M103" s="180">
        <f>K97*24</f>
        <v/>
      </c>
    </row>
    <row r="104" ht="15.6" customFormat="1" customHeight="1" s="163">
      <c r="A104" s="190" t="n">
        <v>102</v>
      </c>
      <c r="B104" s="251" t="n"/>
      <c r="C104" s="123" t="n"/>
      <c r="D104" s="243" t="n"/>
      <c r="E104" s="238" t="n"/>
      <c r="F104" s="154" t="n"/>
      <c r="G104" s="129" t="n"/>
      <c r="H104" s="246" t="n"/>
      <c r="I104" s="247" t="n"/>
      <c r="J104" s="154" t="n"/>
      <c r="K104" s="179">
        <f>J104-F104</f>
        <v/>
      </c>
      <c r="L104" s="180">
        <f>K98*24*60</f>
        <v/>
      </c>
      <c r="M104" s="180">
        <f>K98*24</f>
        <v/>
      </c>
    </row>
    <row r="105" ht="15.6" customFormat="1" customHeight="1" s="163">
      <c r="A105" s="190" t="n">
        <v>103</v>
      </c>
      <c r="B105" s="251" t="n"/>
      <c r="C105" s="123" t="n"/>
      <c r="D105" s="243" t="n"/>
      <c r="E105" s="238" t="n"/>
      <c r="F105" s="154" t="n"/>
      <c r="G105" s="129" t="n"/>
      <c r="H105" s="246" t="n"/>
      <c r="I105" s="129" t="n"/>
      <c r="J105" s="248" t="n"/>
      <c r="K105" s="127">
        <f>J105-F105</f>
        <v/>
      </c>
      <c r="L105" s="180">
        <f>K99*24*60</f>
        <v/>
      </c>
      <c r="M105" s="180">
        <f>K99*24</f>
        <v/>
      </c>
    </row>
    <row r="106" ht="15.6" customFormat="1" customHeight="1" s="163">
      <c r="A106" s="190" t="n">
        <v>104</v>
      </c>
      <c r="B106" s="251" t="n"/>
      <c r="C106" s="123" t="n"/>
      <c r="D106" s="243" t="n"/>
      <c r="E106" s="238" t="n"/>
      <c r="F106" s="154" t="n"/>
      <c r="G106" s="129" t="n"/>
      <c r="H106" s="246" t="n"/>
      <c r="I106" s="129" t="n"/>
      <c r="J106" s="248" t="n"/>
      <c r="K106" s="127">
        <f>J106-F106</f>
        <v/>
      </c>
      <c r="L106" s="180">
        <f>K100*24*60</f>
        <v/>
      </c>
      <c r="M106" s="180">
        <f>K100*24</f>
        <v/>
      </c>
    </row>
    <row r="107" ht="15.6" customFormat="1" customHeight="1" s="163">
      <c r="A107" s="190" t="n">
        <v>105</v>
      </c>
      <c r="B107" s="251" t="n"/>
      <c r="C107" s="123" t="n"/>
      <c r="D107" s="243" t="n"/>
      <c r="E107" s="238" t="n"/>
      <c r="F107" s="154" t="n"/>
      <c r="G107" s="129" t="n"/>
      <c r="H107" s="246" t="n"/>
      <c r="I107" s="129" t="n"/>
      <c r="J107" s="248" t="n"/>
      <c r="K107" s="127">
        <f>J107-F107</f>
        <v/>
      </c>
      <c r="L107" s="180">
        <f>K101*24*60</f>
        <v/>
      </c>
      <c r="M107" s="180">
        <f>K101*24</f>
        <v/>
      </c>
    </row>
    <row r="108" ht="15.6" customFormat="1" customHeight="1" s="163">
      <c r="A108" s="190" t="n">
        <v>106</v>
      </c>
      <c r="B108" s="251" t="n"/>
      <c r="C108" s="123" t="n"/>
      <c r="D108" s="243" t="n"/>
      <c r="E108" s="238" t="n"/>
      <c r="F108" s="154" t="n"/>
      <c r="G108" s="129" t="n"/>
      <c r="H108" s="246" t="n"/>
      <c r="I108" s="129" t="n"/>
      <c r="J108" s="248" t="n"/>
      <c r="K108" s="127">
        <f>J108-F108</f>
        <v/>
      </c>
      <c r="L108" s="180">
        <f>K102*24*60</f>
        <v/>
      </c>
      <c r="M108" s="180">
        <f>K102*24</f>
        <v/>
      </c>
    </row>
    <row r="109" ht="15.6" customFormat="1" customHeight="1" s="163">
      <c r="A109" s="190" t="n">
        <v>107</v>
      </c>
      <c r="B109" s="251" t="n"/>
      <c r="C109" s="123" t="n"/>
      <c r="D109" s="243" t="n"/>
      <c r="E109" s="238" t="n"/>
      <c r="F109" s="154" t="n"/>
      <c r="G109" s="129" t="n"/>
      <c r="H109" s="246" t="n"/>
      <c r="I109" s="129" t="n"/>
      <c r="J109" s="248" t="n"/>
      <c r="K109" s="127">
        <f>J109-F109</f>
        <v/>
      </c>
      <c r="L109" s="180">
        <f>K103*24*60</f>
        <v/>
      </c>
      <c r="M109" s="180">
        <f>K103*24</f>
        <v/>
      </c>
    </row>
    <row r="110" ht="15.6" customFormat="1" customHeight="1" s="163">
      <c r="A110" s="190" t="n">
        <v>108</v>
      </c>
      <c r="B110" s="251" t="n"/>
      <c r="C110" s="123" t="n"/>
      <c r="D110" s="243" t="n"/>
      <c r="E110" s="238" t="n"/>
      <c r="F110" s="154" t="n"/>
      <c r="G110" s="129" t="n"/>
      <c r="H110" s="246" t="n"/>
      <c r="I110" s="129" t="n"/>
      <c r="J110" s="248" t="n"/>
      <c r="K110" s="127">
        <f>J110-F110</f>
        <v/>
      </c>
      <c r="L110" s="180">
        <f>K104*24*60</f>
        <v/>
      </c>
      <c r="M110" s="180">
        <f>K104*24</f>
        <v/>
      </c>
    </row>
    <row r="111" ht="15.6" customFormat="1" customHeight="1" s="163">
      <c r="A111" s="190" t="n">
        <v>109</v>
      </c>
      <c r="B111" s="251" t="n"/>
      <c r="C111" s="123" t="n"/>
      <c r="D111" s="243" t="n"/>
      <c r="E111" s="238" t="n"/>
      <c r="F111" s="154" t="n"/>
      <c r="G111" s="129" t="n"/>
      <c r="H111" s="246" t="n"/>
      <c r="I111" s="129" t="n"/>
      <c r="J111" s="248" t="n"/>
      <c r="K111" s="127">
        <f>J111-F111</f>
        <v/>
      </c>
      <c r="L111" s="180">
        <f>K105*24*60</f>
        <v/>
      </c>
      <c r="M111" s="180">
        <f>K105*24</f>
        <v/>
      </c>
    </row>
    <row r="112" ht="15.6" customFormat="1" customHeight="1" s="163">
      <c r="A112" s="190" t="n">
        <v>110</v>
      </c>
      <c r="B112" s="251" t="n"/>
      <c r="C112" s="123" t="n"/>
      <c r="D112" s="243" t="n"/>
      <c r="E112" s="238" t="n"/>
      <c r="F112" s="154" t="n"/>
      <c r="G112" s="129" t="n"/>
      <c r="H112" s="246" t="n"/>
      <c r="I112" s="129" t="n"/>
      <c r="J112" s="248" t="n"/>
      <c r="K112" s="127">
        <f>J112-F112</f>
        <v/>
      </c>
      <c r="L112" s="180">
        <f>K106*24*60</f>
        <v/>
      </c>
      <c r="M112" s="180">
        <f>K106*24</f>
        <v/>
      </c>
    </row>
    <row r="113" ht="15.6" customFormat="1" customHeight="1" s="163">
      <c r="A113" s="190" t="n">
        <v>111</v>
      </c>
      <c r="B113" s="251" t="n"/>
      <c r="C113" s="123" t="n"/>
      <c r="D113" s="243" t="n"/>
      <c r="E113" s="238" t="n"/>
      <c r="F113" s="154" t="n"/>
      <c r="G113" s="129" t="n"/>
      <c r="H113" s="246" t="n"/>
      <c r="I113" s="129" t="n"/>
      <c r="J113" s="248" t="n"/>
      <c r="K113" s="127">
        <f>J113-F113</f>
        <v/>
      </c>
      <c r="L113" s="180">
        <f>K107*24*60</f>
        <v/>
      </c>
      <c r="M113" s="180">
        <f>K107*24</f>
        <v/>
      </c>
    </row>
    <row r="114" ht="15.6" customFormat="1" customHeight="1" s="163">
      <c r="A114" s="190" t="n">
        <v>112</v>
      </c>
      <c r="B114" s="251" t="n"/>
      <c r="C114" s="123" t="n"/>
      <c r="D114" s="243" t="n"/>
      <c r="E114" s="238" t="n"/>
      <c r="F114" s="154" t="n"/>
      <c r="G114" s="129" t="n"/>
      <c r="H114" s="246" t="n"/>
      <c r="I114" s="129" t="n"/>
      <c r="J114" s="248" t="n"/>
      <c r="K114" s="127">
        <f>J114-F114</f>
        <v/>
      </c>
      <c r="L114" s="180">
        <f>K108*24*60</f>
        <v/>
      </c>
      <c r="M114" s="180">
        <f>K108*24</f>
        <v/>
      </c>
    </row>
    <row r="115" ht="15.6" customFormat="1" customHeight="1" s="163">
      <c r="A115" s="190" t="n">
        <v>113</v>
      </c>
      <c r="B115" s="251" t="n"/>
      <c r="C115" s="123" t="n"/>
      <c r="D115" s="243" t="n"/>
      <c r="E115" s="238" t="n"/>
      <c r="F115" s="154" t="n"/>
      <c r="G115" s="129" t="n"/>
      <c r="H115" s="246" t="n"/>
      <c r="I115" s="129" t="n"/>
      <c r="J115" s="248" t="n"/>
      <c r="K115" s="127">
        <f>J115-F115</f>
        <v/>
      </c>
      <c r="L115" s="180">
        <f>K109*24*60</f>
        <v/>
      </c>
      <c r="M115" s="180">
        <f>K109*24</f>
        <v/>
      </c>
    </row>
    <row r="116" ht="15.6" customFormat="1" customHeight="1" s="163">
      <c r="A116" s="190" t="n">
        <v>114</v>
      </c>
      <c r="B116" s="251" t="n"/>
      <c r="C116" s="123" t="n"/>
      <c r="D116" s="243" t="n"/>
      <c r="E116" s="238" t="n"/>
      <c r="F116" s="154" t="n"/>
      <c r="G116" s="129" t="n"/>
      <c r="H116" s="246" t="n"/>
      <c r="I116" s="129" t="n"/>
      <c r="J116" s="248" t="n"/>
      <c r="K116" s="127">
        <f>J116-F116</f>
        <v/>
      </c>
      <c r="L116" s="180">
        <f>K110*24*60</f>
        <v/>
      </c>
      <c r="M116" s="180">
        <f>K110*24</f>
        <v/>
      </c>
    </row>
    <row r="117" ht="15.6" customFormat="1" customHeight="1" s="163">
      <c r="A117" s="190" t="n">
        <v>115</v>
      </c>
      <c r="B117" s="251" t="n"/>
      <c r="C117" s="123" t="n"/>
      <c r="D117" s="243" t="n"/>
      <c r="E117" s="238" t="n"/>
      <c r="F117" s="154" t="n"/>
      <c r="G117" s="129" t="n"/>
      <c r="H117" s="246" t="n"/>
      <c r="I117" s="129" t="n"/>
      <c r="J117" s="248" t="n"/>
      <c r="K117" s="127">
        <f>J117-F117</f>
        <v/>
      </c>
      <c r="L117" s="180">
        <f>K111*24*60</f>
        <v/>
      </c>
      <c r="M117" s="180">
        <f>K111*24</f>
        <v/>
      </c>
    </row>
    <row r="118" ht="15.6" customFormat="1" customHeight="1" s="163">
      <c r="A118" s="190" t="n">
        <v>116</v>
      </c>
      <c r="B118" s="251" t="n"/>
      <c r="C118" s="123" t="n"/>
      <c r="D118" s="243" t="n"/>
      <c r="E118" s="238" t="n"/>
      <c r="F118" s="154" t="n"/>
      <c r="G118" s="129" t="n"/>
      <c r="H118" s="246" t="n"/>
      <c r="I118" s="129" t="n"/>
      <c r="J118" s="248" t="n"/>
      <c r="K118" s="127">
        <f>J118-F118</f>
        <v/>
      </c>
      <c r="L118" s="180">
        <f>K112*24*60</f>
        <v/>
      </c>
      <c r="M118" s="180">
        <f>K112*24</f>
        <v/>
      </c>
    </row>
    <row r="119" ht="15.6" customFormat="1" customHeight="1" s="163">
      <c r="A119" s="190" t="n">
        <v>117</v>
      </c>
      <c r="B119" s="251" t="n"/>
      <c r="C119" s="123" t="n"/>
      <c r="D119" s="243" t="n"/>
      <c r="E119" s="238" t="n"/>
      <c r="F119" s="154" t="n"/>
      <c r="G119" s="129" t="n"/>
      <c r="H119" s="246" t="n"/>
      <c r="I119" s="247" t="n"/>
      <c r="J119" s="154" t="n"/>
      <c r="K119" s="127">
        <f>J119-F119</f>
        <v/>
      </c>
      <c r="L119" s="180">
        <f>K113*24*60</f>
        <v/>
      </c>
      <c r="M119" s="180">
        <f>K113*24</f>
        <v/>
      </c>
    </row>
    <row r="120" ht="15.6" customFormat="1" customHeight="1" s="163">
      <c r="A120" s="190" t="n">
        <v>118</v>
      </c>
      <c r="B120" s="251" t="n"/>
      <c r="C120" s="123" t="n"/>
      <c r="D120" s="243" t="n"/>
      <c r="E120" s="238" t="n"/>
      <c r="F120" s="154" t="n"/>
      <c r="G120" s="129" t="n"/>
      <c r="H120" s="246" t="n"/>
      <c r="I120" s="129" t="n"/>
      <c r="J120" s="248" t="n"/>
      <c r="K120" s="127">
        <f>J120-F120</f>
        <v/>
      </c>
      <c r="L120" s="180">
        <f>K114*24*60</f>
        <v/>
      </c>
      <c r="M120" s="180">
        <f>K114*24</f>
        <v/>
      </c>
    </row>
    <row r="121" ht="15.6" customFormat="1" customHeight="1" s="163">
      <c r="A121" s="190" t="n">
        <v>119</v>
      </c>
      <c r="B121" s="188" t="n"/>
      <c r="C121" s="123" t="n"/>
      <c r="D121" s="243" t="n"/>
      <c r="E121" s="238" t="n"/>
      <c r="F121" s="154" t="n"/>
      <c r="G121" s="129" t="n"/>
      <c r="H121" s="246" t="n"/>
      <c r="I121" s="129" t="n"/>
      <c r="J121" s="248" t="n"/>
      <c r="K121" s="127">
        <f>J121-F121</f>
        <v/>
      </c>
      <c r="L121" s="180">
        <f>K115*24*60</f>
        <v/>
      </c>
      <c r="M121" s="180">
        <f>K115*24</f>
        <v/>
      </c>
    </row>
    <row r="122" ht="15.6" customFormat="1" customHeight="1" s="163">
      <c r="A122" s="190" t="n">
        <v>120</v>
      </c>
      <c r="B122" s="188" t="n"/>
      <c r="C122" s="123" t="n"/>
      <c r="D122" s="237" t="n"/>
      <c r="E122" s="238" t="n"/>
      <c r="F122" s="154" t="n"/>
      <c r="G122" s="129" t="n"/>
      <c r="H122" s="121" t="n"/>
      <c r="I122" s="129" t="n"/>
      <c r="J122" s="248" t="n"/>
      <c r="K122" s="127">
        <f>J122-F122</f>
        <v/>
      </c>
      <c r="L122" s="180">
        <f>K116*24*60</f>
        <v/>
      </c>
      <c r="M122" s="180">
        <f>K116*24</f>
        <v/>
      </c>
    </row>
    <row r="123" ht="15.6" customFormat="1" customHeight="1" s="163">
      <c r="A123" s="190" t="n">
        <v>121</v>
      </c>
      <c r="B123" s="188" t="n"/>
      <c r="C123" s="123" t="n"/>
      <c r="D123" s="237" t="n"/>
      <c r="E123" s="238" t="n"/>
      <c r="F123" s="154" t="n"/>
      <c r="G123" s="129" t="n"/>
      <c r="H123" s="246" t="n"/>
      <c r="I123" s="247" t="n"/>
      <c r="J123" s="154" t="n"/>
      <c r="K123" s="127">
        <f>J123-F123</f>
        <v/>
      </c>
      <c r="L123" s="180">
        <f>K117*24*60</f>
        <v/>
      </c>
      <c r="M123" s="180">
        <f>K117*24</f>
        <v/>
      </c>
    </row>
    <row r="124" ht="15.6" customFormat="1" customHeight="1" s="163">
      <c r="A124" s="190" t="n">
        <v>122</v>
      </c>
      <c r="B124" s="2" t="n"/>
      <c r="C124" s="123" t="n"/>
      <c r="D124" s="237" t="n"/>
      <c r="E124" s="238" t="n"/>
      <c r="F124" s="154" t="n"/>
      <c r="G124" s="129" t="n"/>
      <c r="H124" s="121" t="n"/>
      <c r="I124" s="129" t="n"/>
      <c r="J124" s="248" t="n"/>
      <c r="K124" s="127">
        <f>J124-F124</f>
        <v/>
      </c>
      <c r="L124" s="180">
        <f>K118*24*60</f>
        <v/>
      </c>
      <c r="M124" s="180">
        <f>K118*24</f>
        <v/>
      </c>
    </row>
    <row r="125" ht="15.6" customFormat="1" customHeight="1" s="163">
      <c r="A125" s="190" t="n">
        <v>123</v>
      </c>
      <c r="B125" s="2" t="n"/>
      <c r="C125" s="123" t="n"/>
      <c r="D125" s="238" t="n"/>
      <c r="E125" s="238" t="n"/>
      <c r="F125" s="241" t="n"/>
      <c r="G125" s="129" t="n"/>
      <c r="H125" s="121" t="n"/>
      <c r="I125" s="173" t="n"/>
      <c r="J125" s="241" t="n"/>
      <c r="K125" s="127">
        <f>J125-F125</f>
        <v/>
      </c>
      <c r="L125" s="180">
        <f>K119*24*60</f>
        <v/>
      </c>
      <c r="M125" s="180">
        <f>K119*24</f>
        <v/>
      </c>
    </row>
    <row r="126" ht="15.6" customFormat="1" customHeight="1" s="163">
      <c r="A126" s="190" t="n">
        <v>124</v>
      </c>
      <c r="B126" s="188" t="n"/>
      <c r="C126" s="123" t="n"/>
      <c r="D126" s="238" t="n"/>
      <c r="E126" s="238" t="n"/>
      <c r="F126" s="154" t="n"/>
      <c r="G126" s="129" t="n"/>
      <c r="H126" s="121" t="n"/>
      <c r="I126" s="173" t="n"/>
      <c r="J126" s="241" t="n"/>
      <c r="K126" s="127">
        <f>J126-F126</f>
        <v/>
      </c>
      <c r="L126" s="180">
        <f>K120*24*60</f>
        <v/>
      </c>
      <c r="M126" s="180">
        <f>K120*24</f>
        <v/>
      </c>
    </row>
    <row r="127" ht="15.6" customFormat="1" customHeight="1" s="163">
      <c r="A127" s="190" t="n">
        <v>125</v>
      </c>
      <c r="B127" s="188" t="n"/>
      <c r="C127" s="123" t="n"/>
      <c r="D127" s="238" t="n"/>
      <c r="E127" s="238" t="n"/>
      <c r="F127" s="154" t="n"/>
      <c r="G127" s="129" t="n"/>
      <c r="H127" s="121" t="n"/>
      <c r="I127" s="173" t="n"/>
      <c r="J127" s="241" t="n"/>
      <c r="K127" s="127">
        <f>J127-F127</f>
        <v/>
      </c>
      <c r="L127" s="180">
        <f>K121*24*60</f>
        <v/>
      </c>
      <c r="M127" s="180">
        <f>K121*24</f>
        <v/>
      </c>
    </row>
    <row r="128" ht="15.6" customFormat="1" customHeight="1" s="163">
      <c r="A128" s="190" t="n">
        <v>126</v>
      </c>
      <c r="B128" s="188" t="n"/>
      <c r="C128" s="123" t="n"/>
      <c r="D128" s="238" t="n"/>
      <c r="E128" s="238" t="n"/>
      <c r="F128" s="154" t="n"/>
      <c r="G128" s="129" t="n"/>
      <c r="H128" s="121" t="n"/>
      <c r="I128" s="173" t="n"/>
      <c r="J128" s="241" t="n"/>
      <c r="K128" s="127">
        <f>J128-F128</f>
        <v/>
      </c>
      <c r="L128" s="180">
        <f>K122*24*60</f>
        <v/>
      </c>
      <c r="M128" s="180">
        <f>K122*24</f>
        <v/>
      </c>
    </row>
    <row r="129" ht="15.6" customFormat="1" customHeight="1" s="163">
      <c r="A129" s="190" t="n">
        <v>127</v>
      </c>
      <c r="B129" s="188" t="n"/>
      <c r="C129" s="123" t="n"/>
      <c r="D129" s="238" t="n"/>
      <c r="E129" s="238" t="n"/>
      <c r="F129" s="154" t="n"/>
      <c r="G129" s="129" t="n"/>
      <c r="H129" s="121" t="n"/>
      <c r="I129" s="189" t="n"/>
      <c r="J129" s="241" t="n"/>
      <c r="K129" s="127">
        <f>J129-F129</f>
        <v/>
      </c>
      <c r="L129" s="180">
        <f>K123*24*60</f>
        <v/>
      </c>
      <c r="M129" s="180">
        <f>K123*24</f>
        <v/>
      </c>
    </row>
    <row r="130" ht="15.6" customFormat="1" customHeight="1" s="163">
      <c r="A130" s="190" t="n">
        <v>128</v>
      </c>
      <c r="B130" s="188" t="n"/>
      <c r="C130" s="123" t="n"/>
      <c r="D130" s="238" t="n"/>
      <c r="E130" s="238" t="n"/>
      <c r="F130" s="154" t="n"/>
      <c r="G130" s="129" t="n"/>
      <c r="H130" s="121" t="n"/>
      <c r="I130" s="173" t="n"/>
      <c r="J130" s="241" t="n"/>
      <c r="K130" s="127">
        <f>J130-F130</f>
        <v/>
      </c>
      <c r="L130" s="180">
        <f>K124*24*60</f>
        <v/>
      </c>
      <c r="M130" s="180">
        <f>K124*24</f>
        <v/>
      </c>
    </row>
    <row r="131" ht="15.6" customFormat="1" customHeight="1" s="163">
      <c r="A131" s="190" t="n">
        <v>129</v>
      </c>
      <c r="B131" s="188" t="n"/>
      <c r="C131" s="123" t="n"/>
      <c r="D131" s="238" t="n"/>
      <c r="E131" s="238" t="n"/>
      <c r="F131" s="154" t="n"/>
      <c r="G131" s="129" t="n"/>
      <c r="H131" s="121" t="n"/>
      <c r="I131" s="173" t="n"/>
      <c r="J131" s="241" t="n"/>
      <c r="K131" s="127">
        <f>J131-F131</f>
        <v/>
      </c>
      <c r="L131" s="180">
        <f>K125*24*60</f>
        <v/>
      </c>
      <c r="M131" s="180">
        <f>K125*24</f>
        <v/>
      </c>
    </row>
    <row r="132" ht="15.6" customFormat="1" customHeight="1" s="163">
      <c r="A132" s="190" t="n">
        <v>130</v>
      </c>
      <c r="B132" s="188" t="n"/>
      <c r="C132" s="123" t="n"/>
      <c r="D132" s="238" t="n"/>
      <c r="E132" s="238" t="n"/>
      <c r="F132" s="154" t="n"/>
      <c r="G132" s="129" t="n"/>
      <c r="H132" s="121" t="n"/>
      <c r="I132" s="173" t="n"/>
      <c r="J132" s="241" t="n"/>
      <c r="K132" s="127">
        <f>J132-F132</f>
        <v/>
      </c>
      <c r="L132" s="180">
        <f>K126*24*60</f>
        <v/>
      </c>
      <c r="M132" s="180">
        <f>K126*24</f>
        <v/>
      </c>
    </row>
    <row r="133" ht="15.6" customFormat="1" customHeight="1" s="163">
      <c r="A133" s="190" t="n">
        <v>131</v>
      </c>
      <c r="B133" s="188" t="n"/>
      <c r="C133" s="123" t="n"/>
      <c r="D133" s="238" t="n"/>
      <c r="E133" s="238" t="n"/>
      <c r="F133" s="154" t="n"/>
      <c r="G133" s="129" t="n"/>
      <c r="H133" s="121" t="n"/>
      <c r="I133" s="173" t="n"/>
      <c r="J133" s="241" t="n"/>
      <c r="K133" s="127">
        <f>J133-F133</f>
        <v/>
      </c>
      <c r="L133" s="180">
        <f>K127*24*60</f>
        <v/>
      </c>
      <c r="M133" s="180">
        <f>K127*24</f>
        <v/>
      </c>
    </row>
    <row r="134" ht="15.6" customFormat="1" customHeight="1" s="163">
      <c r="A134" s="190" t="n">
        <v>132</v>
      </c>
      <c r="B134" s="188" t="n"/>
      <c r="C134" s="123" t="n"/>
      <c r="D134" s="238" t="n"/>
      <c r="E134" s="238" t="n"/>
      <c r="F134" s="154" t="n"/>
      <c r="G134" s="129" t="n"/>
      <c r="H134" s="121" t="n"/>
      <c r="I134" s="173" t="n"/>
      <c r="J134" s="241" t="n"/>
      <c r="K134" s="127">
        <f>J134-F134</f>
        <v/>
      </c>
      <c r="L134" s="180">
        <f>K128*24*60</f>
        <v/>
      </c>
      <c r="M134" s="180">
        <f>K128*24</f>
        <v/>
      </c>
    </row>
    <row r="135" ht="15.6" customFormat="1" customHeight="1" s="163">
      <c r="A135" s="190" t="n">
        <v>133</v>
      </c>
      <c r="B135" s="188" t="n"/>
      <c r="C135" s="123" t="n"/>
      <c r="D135" s="238" t="n"/>
      <c r="E135" s="238" t="n"/>
      <c r="F135" s="154" t="n"/>
      <c r="G135" s="129" t="n"/>
      <c r="H135" s="121" t="n"/>
      <c r="I135" s="173" t="n"/>
      <c r="J135" s="241" t="n"/>
      <c r="K135" s="127">
        <f>J135-F135</f>
        <v/>
      </c>
      <c r="L135" s="180">
        <f>K129*24*60</f>
        <v/>
      </c>
      <c r="M135" s="180">
        <f>K129*24</f>
        <v/>
      </c>
    </row>
    <row r="136" ht="15.6" customFormat="1" customHeight="1" s="163">
      <c r="A136" s="190" t="n">
        <v>134</v>
      </c>
      <c r="B136" s="188" t="n"/>
      <c r="C136" s="123" t="n"/>
      <c r="D136" s="238" t="n"/>
      <c r="E136" s="238" t="n"/>
      <c r="F136" s="154" t="n"/>
      <c r="G136" s="129" t="n"/>
      <c r="H136" s="121" t="n"/>
      <c r="I136" s="173" t="n"/>
      <c r="J136" s="241" t="n"/>
      <c r="K136" s="127">
        <f>J136-F136</f>
        <v/>
      </c>
      <c r="L136" s="180">
        <f>K130*24*60</f>
        <v/>
      </c>
      <c r="M136" s="180">
        <f>K130*24</f>
        <v/>
      </c>
    </row>
    <row r="137" ht="15.6" customFormat="1" customHeight="1" s="163">
      <c r="A137" s="190" t="n">
        <v>135</v>
      </c>
      <c r="B137" s="188" t="n"/>
      <c r="C137" s="123" t="n"/>
      <c r="D137" s="238" t="n"/>
      <c r="E137" s="238" t="n"/>
      <c r="F137" s="154" t="n"/>
      <c r="G137" s="129" t="n"/>
      <c r="H137" s="121" t="n"/>
      <c r="I137" s="173" t="n"/>
      <c r="J137" s="241" t="n"/>
      <c r="K137" s="127">
        <f>J137-F137</f>
        <v/>
      </c>
      <c r="L137" s="180">
        <f>K131*24*60</f>
        <v/>
      </c>
      <c r="M137" s="180">
        <f>K131*24</f>
        <v/>
      </c>
    </row>
    <row r="138" ht="15.6" customFormat="1" customHeight="1" s="163">
      <c r="A138" s="190" t="n">
        <v>136</v>
      </c>
      <c r="B138" s="188" t="n"/>
      <c r="C138" s="123" t="n"/>
      <c r="D138" s="238" t="n"/>
      <c r="E138" s="238" t="n"/>
      <c r="F138" s="154" t="n"/>
      <c r="G138" s="129" t="n"/>
      <c r="H138" s="121" t="n"/>
      <c r="I138" s="173" t="n"/>
      <c r="J138" s="241" t="n"/>
      <c r="K138" s="127">
        <f>J138-F138</f>
        <v/>
      </c>
      <c r="L138" s="180">
        <f>K132*24*60</f>
        <v/>
      </c>
      <c r="M138" s="180">
        <f>K132*24</f>
        <v/>
      </c>
    </row>
    <row r="139" ht="15.6" customFormat="1" customHeight="1" s="163">
      <c r="A139" s="190" t="n">
        <v>137</v>
      </c>
      <c r="B139" s="188" t="n"/>
      <c r="C139" s="123" t="n"/>
      <c r="D139" s="238" t="n"/>
      <c r="E139" s="238" t="n"/>
      <c r="F139" s="154" t="n"/>
      <c r="G139" s="129" t="n"/>
      <c r="H139" s="121" t="n"/>
      <c r="I139" s="173" t="n"/>
      <c r="J139" s="241" t="n"/>
      <c r="K139" s="127">
        <f>J139-F139</f>
        <v/>
      </c>
      <c r="L139" s="180">
        <f>K133*24*60</f>
        <v/>
      </c>
      <c r="M139" s="180">
        <f>K133*24</f>
        <v/>
      </c>
    </row>
    <row r="140" ht="15.6" customFormat="1" customHeight="1" s="163">
      <c r="A140" s="190" t="n">
        <v>138</v>
      </c>
      <c r="B140" s="188" t="n"/>
      <c r="C140" s="123" t="n"/>
      <c r="D140" s="238" t="n"/>
      <c r="E140" s="238" t="n"/>
      <c r="F140" s="154" t="n"/>
      <c r="G140" s="129" t="n"/>
      <c r="H140" s="121" t="n"/>
      <c r="I140" s="173" t="n"/>
      <c r="J140" s="241" t="n"/>
      <c r="K140" s="127">
        <f>J140-F140</f>
        <v/>
      </c>
      <c r="L140" s="180">
        <f>K134*24*60</f>
        <v/>
      </c>
      <c r="M140" s="180">
        <f>K134*24</f>
        <v/>
      </c>
    </row>
    <row r="141" ht="15.6" customFormat="1" customHeight="1" s="163">
      <c r="A141" s="190" t="n">
        <v>139</v>
      </c>
      <c r="B141" s="188" t="n"/>
      <c r="C141" s="123" t="n"/>
      <c r="D141" s="238" t="n"/>
      <c r="E141" s="238" t="n"/>
      <c r="F141" s="154" t="n"/>
      <c r="G141" s="129" t="n"/>
      <c r="H141" s="121" t="n"/>
      <c r="I141" s="173" t="n"/>
      <c r="J141" s="241" t="n"/>
      <c r="K141" s="127">
        <f>J141-F141</f>
        <v/>
      </c>
      <c r="L141" s="180">
        <f>K135*24*60</f>
        <v/>
      </c>
      <c r="M141" s="180">
        <f>K135*24</f>
        <v/>
      </c>
    </row>
    <row r="142" ht="15.6" customFormat="1" customHeight="1" s="163">
      <c r="A142" s="190" t="n">
        <v>140</v>
      </c>
      <c r="B142" s="188" t="n"/>
      <c r="C142" s="123" t="n"/>
      <c r="D142" s="238" t="n"/>
      <c r="E142" s="238" t="n"/>
      <c r="F142" s="154" t="n"/>
      <c r="G142" s="129" t="n"/>
      <c r="H142" s="121" t="n"/>
      <c r="I142" s="173" t="n"/>
      <c r="J142" s="241" t="n"/>
      <c r="K142" s="127">
        <f>J142-F142</f>
        <v/>
      </c>
      <c r="L142" s="180">
        <f>K136*24*60</f>
        <v/>
      </c>
      <c r="M142" s="180">
        <f>K136*24</f>
        <v/>
      </c>
    </row>
    <row r="143" ht="15.6" customFormat="1" customHeight="1" s="163">
      <c r="A143" s="190" t="n">
        <v>141</v>
      </c>
      <c r="B143" s="188" t="n"/>
      <c r="C143" s="123" t="n"/>
      <c r="D143" s="238" t="n"/>
      <c r="E143" s="238" t="n"/>
      <c r="F143" s="154" t="n"/>
      <c r="G143" s="129" t="n"/>
      <c r="H143" s="121" t="n"/>
      <c r="I143" s="252" t="n"/>
      <c r="J143" s="241" t="n"/>
      <c r="K143" s="127">
        <f>J143-F143</f>
        <v/>
      </c>
      <c r="L143" s="180">
        <f>K137*24*60</f>
        <v/>
      </c>
      <c r="M143" s="180">
        <f>K137*24</f>
        <v/>
      </c>
    </row>
    <row r="144" ht="15.6" customFormat="1" customHeight="1" s="163">
      <c r="A144" s="190" t="n">
        <v>142</v>
      </c>
      <c r="B144" s="188" t="n"/>
      <c r="C144" s="123" t="n"/>
      <c r="D144" s="238" t="n"/>
      <c r="E144" s="238" t="n"/>
      <c r="F144" s="154" t="n"/>
      <c r="G144" s="129" t="n"/>
      <c r="H144" s="121" t="n"/>
      <c r="I144" s="252" t="n"/>
      <c r="J144" s="241" t="n"/>
      <c r="K144" s="127">
        <f>J144-F144</f>
        <v/>
      </c>
      <c r="L144" s="180">
        <f>K138*24*60</f>
        <v/>
      </c>
      <c r="M144" s="180">
        <f>K138*24</f>
        <v/>
      </c>
    </row>
    <row r="145" ht="15.6" customFormat="1" customHeight="1" s="163">
      <c r="A145" s="190" t="n">
        <v>143</v>
      </c>
      <c r="B145" s="188" t="n"/>
      <c r="C145" s="123" t="n"/>
      <c r="D145" s="238" t="n"/>
      <c r="E145" s="238" t="n"/>
      <c r="F145" s="154" t="n"/>
      <c r="G145" s="129" t="n"/>
      <c r="H145" s="121" t="n"/>
      <c r="I145" s="252" t="n"/>
      <c r="J145" s="241" t="n"/>
      <c r="K145" s="127">
        <f>J145-F145</f>
        <v/>
      </c>
      <c r="L145" s="180">
        <f>K139*24*60</f>
        <v/>
      </c>
      <c r="M145" s="180">
        <f>K139*24</f>
        <v/>
      </c>
    </row>
    <row r="146" ht="15.6" customFormat="1" customHeight="1" s="163">
      <c r="A146" s="190" t="n">
        <v>144</v>
      </c>
      <c r="B146" s="188" t="n"/>
      <c r="C146" s="123" t="n"/>
      <c r="D146" s="238" t="n"/>
      <c r="E146" s="238" t="n"/>
      <c r="F146" s="154" t="n"/>
      <c r="G146" s="129" t="n"/>
      <c r="H146" s="121" t="n"/>
      <c r="I146" s="253" t="n"/>
      <c r="J146" s="241" t="n"/>
      <c r="K146" s="127">
        <f>J146-F146</f>
        <v/>
      </c>
      <c r="L146" s="180">
        <f>K140*24*60</f>
        <v/>
      </c>
      <c r="M146" s="180">
        <f>K140*24</f>
        <v/>
      </c>
    </row>
    <row r="147" ht="15.6" customFormat="1" customHeight="1" s="163">
      <c r="A147" s="190" t="n">
        <v>145</v>
      </c>
      <c r="B147" s="188" t="n"/>
      <c r="C147" s="123" t="n"/>
      <c r="D147" s="238" t="n"/>
      <c r="E147" s="238" t="n"/>
      <c r="F147" s="154" t="n"/>
      <c r="G147" s="129" t="n"/>
      <c r="H147" s="121" t="n"/>
      <c r="I147" s="253" t="n"/>
      <c r="J147" s="241" t="n"/>
      <c r="K147" s="127">
        <f>J147-F147</f>
        <v/>
      </c>
      <c r="L147" s="180">
        <f>K141*24*60</f>
        <v/>
      </c>
      <c r="M147" s="180">
        <f>K141*24</f>
        <v/>
      </c>
    </row>
    <row r="148" ht="15.6" customFormat="1" customHeight="1" s="163">
      <c r="A148" s="190" t="n">
        <v>146</v>
      </c>
      <c r="B148" s="188" t="n"/>
      <c r="C148" s="123" t="n"/>
      <c r="D148" s="238" t="n"/>
      <c r="E148" s="238" t="n"/>
      <c r="F148" s="154" t="n"/>
      <c r="G148" s="129" t="n"/>
      <c r="H148" s="121" t="n"/>
      <c r="I148" s="253" t="n"/>
      <c r="J148" s="241" t="n"/>
      <c r="K148" s="127">
        <f>J148-F148</f>
        <v/>
      </c>
      <c r="L148" s="180">
        <f>K142*24*60</f>
        <v/>
      </c>
      <c r="M148" s="180">
        <f>K142*24</f>
        <v/>
      </c>
    </row>
    <row r="149" ht="15.6" customFormat="1" customHeight="1" s="163">
      <c r="A149" s="190" t="n">
        <v>147</v>
      </c>
      <c r="B149" s="188" t="n"/>
      <c r="C149" s="123" t="n"/>
      <c r="D149" s="238" t="n"/>
      <c r="E149" s="238" t="n"/>
      <c r="F149" s="154" t="n"/>
      <c r="G149" s="129" t="n"/>
      <c r="H149" s="121" t="n"/>
      <c r="I149" s="253" t="n"/>
      <c r="J149" s="241" t="n"/>
      <c r="K149" s="127">
        <f>J149-F149</f>
        <v/>
      </c>
      <c r="L149" s="180">
        <f>K143*24*60</f>
        <v/>
      </c>
      <c r="M149" s="180">
        <f>K143*24</f>
        <v/>
      </c>
    </row>
    <row r="150" ht="15.6" customFormat="1" customHeight="1" s="163">
      <c r="A150" s="190" t="n">
        <v>148</v>
      </c>
      <c r="B150" s="188" t="n"/>
      <c r="C150" s="123" t="n"/>
      <c r="D150" s="238" t="n"/>
      <c r="E150" s="238" t="n"/>
      <c r="F150" s="154" t="n"/>
      <c r="G150" s="129" t="n"/>
      <c r="H150" s="121" t="n"/>
      <c r="I150" s="253" t="n"/>
      <c r="J150" s="241" t="n"/>
      <c r="K150" s="127">
        <f>J150-F150</f>
        <v/>
      </c>
      <c r="L150" s="180">
        <f>K144*24*60</f>
        <v/>
      </c>
      <c r="M150" s="180">
        <f>K144*24</f>
        <v/>
      </c>
    </row>
    <row r="151" ht="15.6" customFormat="1" customHeight="1" s="163">
      <c r="A151" s="190" t="n">
        <v>149</v>
      </c>
      <c r="B151" s="188" t="n"/>
      <c r="C151" s="123" t="n"/>
      <c r="D151" s="238" t="n"/>
      <c r="E151" s="238" t="n"/>
      <c r="F151" s="154" t="n"/>
      <c r="G151" s="129" t="n"/>
      <c r="H151" s="121" t="n"/>
      <c r="I151" s="253" t="n"/>
      <c r="J151" s="241" t="n"/>
      <c r="K151" s="127">
        <f>J151-F151</f>
        <v/>
      </c>
      <c r="L151" s="180">
        <f>K145*24*60</f>
        <v/>
      </c>
      <c r="M151" s="180">
        <f>K145*24</f>
        <v/>
      </c>
    </row>
    <row r="152" ht="15.6" customFormat="1" customHeight="1" s="163">
      <c r="A152" s="190" t="n">
        <v>150</v>
      </c>
      <c r="B152" s="188" t="n"/>
      <c r="C152" s="123" t="n"/>
      <c r="D152" s="238" t="n"/>
      <c r="E152" s="238" t="n"/>
      <c r="F152" s="154" t="n"/>
      <c r="G152" s="129" t="n"/>
      <c r="H152" s="121" t="n"/>
      <c r="I152" s="253" t="n"/>
      <c r="J152" s="241" t="n"/>
      <c r="K152" s="127">
        <f>J152-F152</f>
        <v/>
      </c>
      <c r="L152" s="180">
        <f>K146*24*60</f>
        <v/>
      </c>
      <c r="M152" s="180">
        <f>K146*24</f>
        <v/>
      </c>
    </row>
    <row r="153" ht="15.6" customFormat="1" customHeight="1" s="163">
      <c r="A153" s="190" t="n">
        <v>151</v>
      </c>
      <c r="B153" s="188" t="n"/>
      <c r="C153" s="123" t="n"/>
      <c r="D153" s="238" t="n"/>
      <c r="E153" s="238" t="n"/>
      <c r="F153" s="154" t="n"/>
      <c r="G153" s="129" t="n"/>
      <c r="H153" s="121" t="n"/>
      <c r="I153" s="253" t="n"/>
      <c r="J153" s="241" t="n"/>
      <c r="K153" s="127">
        <f>J153-F153</f>
        <v/>
      </c>
      <c r="L153" s="180">
        <f>K147*24*60</f>
        <v/>
      </c>
      <c r="M153" s="180">
        <f>K147*24</f>
        <v/>
      </c>
    </row>
    <row r="154" ht="15.6" customFormat="1" customHeight="1" s="163">
      <c r="A154" s="190" t="n">
        <v>152</v>
      </c>
      <c r="B154" s="188" t="n"/>
      <c r="C154" s="123" t="n"/>
      <c r="D154" s="238" t="n"/>
      <c r="E154" s="238" t="n"/>
      <c r="F154" s="154" t="n"/>
      <c r="G154" s="129" t="n"/>
      <c r="H154" s="121" t="n"/>
      <c r="I154" s="253" t="n"/>
      <c r="J154" s="241" t="n"/>
      <c r="K154" s="127">
        <f>J154-F154</f>
        <v/>
      </c>
      <c r="L154" s="180">
        <f>K148*24*60</f>
        <v/>
      </c>
      <c r="M154" s="180">
        <f>K148*24</f>
        <v/>
      </c>
    </row>
    <row r="155" ht="15.6" customFormat="1" customHeight="1" s="163">
      <c r="A155" s="190" t="n">
        <v>153</v>
      </c>
      <c r="B155" s="188" t="n"/>
      <c r="C155" s="123" t="n"/>
      <c r="D155" s="238" t="n"/>
      <c r="E155" s="238" t="n"/>
      <c r="F155" s="154" t="n"/>
      <c r="G155" s="129" t="n"/>
      <c r="H155" s="121" t="n"/>
      <c r="I155" s="253" t="n"/>
      <c r="J155" s="241" t="n"/>
      <c r="K155" s="127">
        <f>J155-F155</f>
        <v/>
      </c>
      <c r="L155" s="180">
        <f>K149*24*60</f>
        <v/>
      </c>
      <c r="M155" s="180">
        <f>K149*24</f>
        <v/>
      </c>
    </row>
    <row r="156" ht="15.6" customFormat="1" customHeight="1" s="163">
      <c r="A156" s="190" t="n">
        <v>154</v>
      </c>
      <c r="B156" s="188" t="n"/>
      <c r="C156" s="123" t="n"/>
      <c r="D156" s="238" t="n"/>
      <c r="E156" s="238" t="n"/>
      <c r="F156" s="154" t="n"/>
      <c r="G156" s="129" t="n"/>
      <c r="H156" s="121" t="n"/>
      <c r="I156" s="253" t="n"/>
      <c r="J156" s="241" t="n"/>
      <c r="K156" s="127">
        <f>J156-F156</f>
        <v/>
      </c>
      <c r="L156" s="180">
        <f>K150*24*60</f>
        <v/>
      </c>
      <c r="M156" s="180">
        <f>K150*24</f>
        <v/>
      </c>
    </row>
    <row r="157" ht="15.6" customFormat="1" customHeight="1" s="163">
      <c r="A157" s="190" t="n">
        <v>155</v>
      </c>
      <c r="B157" s="188" t="n"/>
      <c r="C157" s="123" t="n"/>
      <c r="D157" s="238" t="n"/>
      <c r="E157" s="238" t="n"/>
      <c r="F157" s="154" t="n"/>
      <c r="G157" s="129" t="n"/>
      <c r="H157" s="121" t="n"/>
      <c r="I157" s="253" t="n"/>
      <c r="J157" s="241" t="n"/>
      <c r="K157" s="127">
        <f>J157-F157</f>
        <v/>
      </c>
      <c r="L157" s="180">
        <f>K151*24*60</f>
        <v/>
      </c>
      <c r="M157" s="180">
        <f>K151*24</f>
        <v/>
      </c>
    </row>
    <row r="158" ht="15.6" customFormat="1" customHeight="1" s="163">
      <c r="A158" s="190" t="n">
        <v>156</v>
      </c>
      <c r="B158" s="188" t="n"/>
      <c r="C158" s="123" t="n"/>
      <c r="D158" s="238" t="n"/>
      <c r="E158" s="238" t="n"/>
      <c r="F158" s="154" t="n"/>
      <c r="G158" s="129" t="n"/>
      <c r="H158" s="121" t="n"/>
      <c r="I158" s="253" t="n"/>
      <c r="J158" s="241" t="n"/>
      <c r="K158" s="127">
        <f>J158-F158</f>
        <v/>
      </c>
      <c r="L158" s="180">
        <f>K152*24*60</f>
        <v/>
      </c>
      <c r="M158" s="180">
        <f>K152*24</f>
        <v/>
      </c>
    </row>
    <row r="159" ht="15.6" customFormat="1" customHeight="1" s="163">
      <c r="A159" s="190" t="n">
        <v>157</v>
      </c>
      <c r="B159" s="188" t="n"/>
      <c r="C159" s="123" t="n"/>
      <c r="D159" s="238" t="n"/>
      <c r="E159" s="238" t="n"/>
      <c r="F159" s="154" t="n"/>
      <c r="G159" s="129" t="n"/>
      <c r="H159" s="121" t="n"/>
      <c r="I159" s="253" t="n"/>
      <c r="J159" s="241" t="n"/>
      <c r="K159" s="127">
        <f>J159-F159</f>
        <v/>
      </c>
      <c r="L159" s="180">
        <f>K153*24*60</f>
        <v/>
      </c>
      <c r="M159" s="180">
        <f>K153*24</f>
        <v/>
      </c>
    </row>
    <row r="160" ht="15.6" customFormat="1" customHeight="1" s="163">
      <c r="A160" s="190" t="n">
        <v>158</v>
      </c>
      <c r="B160" s="188" t="n"/>
      <c r="C160" s="123" t="n"/>
      <c r="D160" s="238" t="n"/>
      <c r="E160" s="238" t="n"/>
      <c r="F160" s="154" t="n"/>
      <c r="G160" s="129" t="n"/>
      <c r="H160" s="121" t="n"/>
      <c r="I160" s="253" t="n"/>
      <c r="J160" s="241" t="n"/>
      <c r="K160" s="127">
        <f>J160-F160</f>
        <v/>
      </c>
      <c r="L160" s="180">
        <f>K154*24*60</f>
        <v/>
      </c>
      <c r="M160" s="180">
        <f>K154*24</f>
        <v/>
      </c>
    </row>
    <row r="161" ht="15.6" customFormat="1" customHeight="1" s="163">
      <c r="A161" s="190" t="n">
        <v>159</v>
      </c>
      <c r="B161" s="188" t="n"/>
      <c r="C161" s="123" t="n"/>
      <c r="D161" s="238" t="n"/>
      <c r="E161" s="238" t="n"/>
      <c r="F161" s="154" t="n"/>
      <c r="G161" s="129" t="n"/>
      <c r="H161" s="121" t="n"/>
      <c r="I161" s="253" t="n"/>
      <c r="J161" s="241" t="n"/>
      <c r="K161" s="127">
        <f>J161-F161</f>
        <v/>
      </c>
      <c r="L161" s="180">
        <f>K155*24*60</f>
        <v/>
      </c>
      <c r="M161" s="180">
        <f>K155*24</f>
        <v/>
      </c>
    </row>
    <row r="162" ht="15.6" customFormat="1" customHeight="1" s="163">
      <c r="A162" s="190" t="n">
        <v>160</v>
      </c>
      <c r="B162" s="188" t="n"/>
      <c r="C162" s="123" t="n"/>
      <c r="D162" s="238" t="n"/>
      <c r="E162" s="238" t="n"/>
      <c r="F162" s="154" t="n"/>
      <c r="G162" s="129" t="n"/>
      <c r="H162" s="121" t="n"/>
      <c r="I162" s="253" t="n"/>
      <c r="J162" s="241" t="n"/>
      <c r="K162" s="127">
        <f>J162-F162</f>
        <v/>
      </c>
      <c r="L162" s="180">
        <f>K156*24*60</f>
        <v/>
      </c>
      <c r="M162" s="180">
        <f>K156*24</f>
        <v/>
      </c>
    </row>
    <row r="163" ht="15.6" customFormat="1" customHeight="1" s="163">
      <c r="A163" s="190" t="n">
        <v>161</v>
      </c>
      <c r="B163" s="188" t="n"/>
      <c r="C163" s="123" t="n"/>
      <c r="D163" s="238" t="n"/>
      <c r="E163" s="238" t="n"/>
      <c r="F163" s="154" t="n"/>
      <c r="G163" s="129" t="n"/>
      <c r="H163" s="121" t="n"/>
      <c r="I163" s="253" t="n"/>
      <c r="J163" s="241" t="n"/>
      <c r="K163" s="127">
        <f>J163-F163</f>
        <v/>
      </c>
      <c r="L163" s="180">
        <f>K157*24*60</f>
        <v/>
      </c>
      <c r="M163" s="180">
        <f>K157*24</f>
        <v/>
      </c>
    </row>
    <row r="164" ht="15.6" customFormat="1" customHeight="1" s="163">
      <c r="A164" s="190" t="n">
        <v>162</v>
      </c>
      <c r="B164" s="188" t="n"/>
      <c r="C164" s="123" t="n"/>
      <c r="D164" s="238" t="n"/>
      <c r="E164" s="238" t="n"/>
      <c r="F164" s="154" t="n"/>
      <c r="G164" s="129" t="n"/>
      <c r="H164" s="121" t="n"/>
      <c r="I164" s="253" t="n"/>
      <c r="J164" s="241" t="n"/>
      <c r="K164" s="127">
        <f>J164-F164</f>
        <v/>
      </c>
      <c r="L164" s="180">
        <f>K158*24*60</f>
        <v/>
      </c>
      <c r="M164" s="180">
        <f>K158*24</f>
        <v/>
      </c>
    </row>
    <row r="165" ht="15.6" customFormat="1" customHeight="1" s="163">
      <c r="A165" s="190" t="n">
        <v>163</v>
      </c>
      <c r="B165" s="188" t="n"/>
      <c r="C165" s="123" t="n"/>
      <c r="D165" s="238" t="n"/>
      <c r="E165" s="238" t="n"/>
      <c r="F165" s="154" t="n"/>
      <c r="G165" s="129" t="n"/>
      <c r="H165" s="121" t="n"/>
      <c r="I165" s="253" t="n"/>
      <c r="J165" s="241" t="n"/>
      <c r="K165" s="127">
        <f>J165-F165</f>
        <v/>
      </c>
      <c r="L165" s="180">
        <f>K159*24*60</f>
        <v/>
      </c>
      <c r="M165" s="180">
        <f>K159*24</f>
        <v/>
      </c>
    </row>
    <row r="166" ht="15.6" customFormat="1" customHeight="1" s="163">
      <c r="A166" s="190" t="n">
        <v>164</v>
      </c>
      <c r="B166" s="188" t="n"/>
      <c r="C166" s="123" t="n"/>
      <c r="D166" s="238" t="n"/>
      <c r="E166" s="238" t="n"/>
      <c r="F166" s="154" t="n"/>
      <c r="G166" s="129" t="n"/>
      <c r="H166" s="121" t="n"/>
      <c r="I166" s="253" t="n"/>
      <c r="J166" s="241" t="n"/>
      <c r="K166" s="127">
        <f>J166-F166</f>
        <v/>
      </c>
      <c r="L166" s="180">
        <f>K160*24*60</f>
        <v/>
      </c>
      <c r="M166" s="180">
        <f>K160*24</f>
        <v/>
      </c>
    </row>
    <row r="167" ht="15.6" customFormat="1" customHeight="1" s="163">
      <c r="A167" s="190" t="n">
        <v>165</v>
      </c>
      <c r="B167" s="188" t="n"/>
      <c r="C167" s="123" t="n"/>
      <c r="D167" s="238" t="n"/>
      <c r="E167" s="238" t="n"/>
      <c r="F167" s="154" t="n"/>
      <c r="G167" s="129" t="n"/>
      <c r="H167" s="121" t="n"/>
      <c r="I167" s="253" t="n"/>
      <c r="J167" s="241" t="n"/>
      <c r="K167" s="127">
        <f>J167-F167</f>
        <v/>
      </c>
      <c r="L167" s="180">
        <f>K161*24*60</f>
        <v/>
      </c>
      <c r="M167" s="180">
        <f>K161*24</f>
        <v/>
      </c>
    </row>
    <row r="168" ht="15.6" customFormat="1" customHeight="1" s="163">
      <c r="A168" s="190" t="n">
        <v>166</v>
      </c>
      <c r="B168" s="188" t="n"/>
      <c r="C168" s="123" t="n"/>
      <c r="D168" s="238" t="n"/>
      <c r="E168" s="238" t="n"/>
      <c r="F168" s="154" t="n"/>
      <c r="G168" s="129" t="n"/>
      <c r="H168" s="121" t="n"/>
      <c r="I168" s="253" t="n"/>
      <c r="J168" s="241" t="n"/>
      <c r="K168" s="127">
        <f>J168-F168</f>
        <v/>
      </c>
      <c r="L168" s="180">
        <f>K162*24*60</f>
        <v/>
      </c>
      <c r="M168" s="180">
        <f>K162*24</f>
        <v/>
      </c>
    </row>
    <row r="169" ht="15.6" customFormat="1" customHeight="1" s="163">
      <c r="A169" s="190" t="n">
        <v>167</v>
      </c>
      <c r="B169" s="188" t="n"/>
      <c r="C169" s="123" t="n"/>
      <c r="D169" s="238" t="n"/>
      <c r="E169" s="238" t="n"/>
      <c r="F169" s="154" t="n"/>
      <c r="G169" s="129" t="n"/>
      <c r="H169" s="121" t="n"/>
      <c r="I169" s="253" t="n"/>
      <c r="J169" s="241" t="n"/>
      <c r="K169" s="127">
        <f>J169-F169</f>
        <v/>
      </c>
      <c r="L169" s="180">
        <f>K163*24*60</f>
        <v/>
      </c>
      <c r="M169" s="180">
        <f>K163*24</f>
        <v/>
      </c>
    </row>
    <row r="170" ht="15.6" customFormat="1" customHeight="1" s="163">
      <c r="A170" s="190" t="n">
        <v>168</v>
      </c>
      <c r="B170" s="188" t="n"/>
      <c r="C170" s="123" t="n"/>
      <c r="D170" s="238" t="n"/>
      <c r="E170" s="238" t="n"/>
      <c r="F170" s="154" t="n"/>
      <c r="G170" s="129" t="n"/>
      <c r="H170" s="121" t="n"/>
      <c r="I170" s="253" t="n"/>
      <c r="J170" s="241" t="n"/>
      <c r="K170" s="127">
        <f>J170-F170</f>
        <v/>
      </c>
      <c r="L170" s="180">
        <f>K164*24*60</f>
        <v/>
      </c>
      <c r="M170" s="180">
        <f>K164*24</f>
        <v/>
      </c>
    </row>
    <row r="171" ht="15.6" customFormat="1" customHeight="1" s="163">
      <c r="A171" s="190" t="n">
        <v>169</v>
      </c>
      <c r="B171" s="188" t="n"/>
      <c r="C171" s="123" t="n"/>
      <c r="D171" s="238" t="n"/>
      <c r="E171" s="238" t="n"/>
      <c r="F171" s="154" t="n"/>
      <c r="G171" s="129" t="n"/>
      <c r="H171" s="121" t="n"/>
      <c r="I171" s="253" t="n"/>
      <c r="J171" s="241" t="n"/>
      <c r="K171" s="127">
        <f>J171-F171</f>
        <v/>
      </c>
      <c r="L171" s="180">
        <f>K165*24*60</f>
        <v/>
      </c>
      <c r="M171" s="180">
        <f>K165*24</f>
        <v/>
      </c>
    </row>
    <row r="172" ht="15.6" customFormat="1" customHeight="1" s="163">
      <c r="A172" s="190" t="n">
        <v>170</v>
      </c>
      <c r="B172" s="188" t="n"/>
      <c r="C172" s="123" t="n"/>
      <c r="D172" s="238" t="n"/>
      <c r="E172" s="238" t="n"/>
      <c r="F172" s="154" t="n"/>
      <c r="G172" s="129" t="n"/>
      <c r="H172" s="121" t="n"/>
      <c r="I172" s="253" t="n"/>
      <c r="J172" s="241" t="n"/>
      <c r="K172" s="127">
        <f>J172-F172</f>
        <v/>
      </c>
      <c r="L172" s="180">
        <f>K166*24*60</f>
        <v/>
      </c>
      <c r="M172" s="180">
        <f>K166*24</f>
        <v/>
      </c>
    </row>
    <row r="173" ht="15.6" customHeight="1">
      <c r="A173" s="190" t="n">
        <v>171</v>
      </c>
      <c r="B173" s="188" t="n"/>
      <c r="C173" s="123" t="n"/>
      <c r="D173" s="238" t="n"/>
      <c r="E173" s="238" t="n"/>
      <c r="F173" s="154" t="n"/>
      <c r="G173" s="129" t="n"/>
      <c r="H173" s="121" t="n"/>
      <c r="I173" s="253" t="n"/>
      <c r="J173" s="154" t="n"/>
      <c r="K173" s="127">
        <f>J173-F173</f>
        <v/>
      </c>
      <c r="L173" s="180">
        <f>K167*24*60</f>
        <v/>
      </c>
      <c r="M173" s="180">
        <f>K167*24</f>
        <v/>
      </c>
    </row>
    <row r="174" ht="15.6" customHeight="1">
      <c r="A174" s="190" t="n">
        <v>172</v>
      </c>
      <c r="B174" s="188" t="n"/>
      <c r="C174" s="123" t="n"/>
      <c r="D174" s="238" t="n"/>
      <c r="E174" s="238" t="n"/>
      <c r="F174" s="154" t="n"/>
      <c r="G174" s="129" t="n"/>
      <c r="H174" s="121" t="n"/>
      <c r="I174" s="253" t="n"/>
      <c r="J174" s="154" t="n"/>
      <c r="K174" s="127">
        <f>J174-F174</f>
        <v/>
      </c>
      <c r="L174" s="180">
        <f>K168*24*60</f>
        <v/>
      </c>
      <c r="M174" s="180">
        <f>K168*24</f>
        <v/>
      </c>
    </row>
    <row r="175" ht="15" customHeight="1">
      <c r="A175" s="190" t="n">
        <v>173</v>
      </c>
      <c r="B175" s="188" t="n"/>
      <c r="C175" s="123" t="n"/>
      <c r="D175" s="238" t="n"/>
      <c r="E175" s="238" t="n"/>
      <c r="F175" s="154" t="n"/>
      <c r="G175" s="129" t="n"/>
      <c r="H175" s="121" t="n"/>
      <c r="I175" s="253" t="n"/>
      <c r="J175" s="154" t="n"/>
      <c r="K175" s="127">
        <f>J175-F175</f>
        <v/>
      </c>
      <c r="L175" s="180">
        <f>K169*24*60</f>
        <v/>
      </c>
      <c r="M175" s="180">
        <f>K169*24</f>
        <v/>
      </c>
    </row>
    <row r="176" ht="15.6" customHeight="1">
      <c r="A176" s="190" t="n">
        <v>174</v>
      </c>
      <c r="B176" s="188" t="n"/>
      <c r="C176" s="123" t="n"/>
      <c r="D176" s="238" t="n"/>
      <c r="E176" s="238" t="n"/>
      <c r="F176" s="154" t="n"/>
      <c r="G176" s="129" t="n"/>
      <c r="H176" s="121" t="n"/>
      <c r="I176" s="253" t="n"/>
      <c r="J176" s="154" t="n"/>
      <c r="K176" s="127">
        <f>J176-F176</f>
        <v/>
      </c>
      <c r="L176" s="180">
        <f>K170*24*60</f>
        <v/>
      </c>
      <c r="M176" s="180">
        <f>K170*24</f>
        <v/>
      </c>
    </row>
    <row r="177" ht="15.6" customHeight="1">
      <c r="A177" s="190" t="n">
        <v>175</v>
      </c>
      <c r="B177" s="188" t="n"/>
      <c r="C177" s="123" t="n"/>
      <c r="D177" s="238" t="n"/>
      <c r="E177" s="238" t="n"/>
      <c r="F177" s="154" t="n"/>
      <c r="G177" s="129" t="n"/>
      <c r="H177" s="121" t="n"/>
      <c r="I177" s="253" t="n"/>
      <c r="J177" s="154" t="n"/>
      <c r="K177" s="127">
        <f>J177-F177</f>
        <v/>
      </c>
      <c r="L177" s="180">
        <f>K171*24*60</f>
        <v/>
      </c>
      <c r="M177" s="180">
        <f>K171*24</f>
        <v/>
      </c>
    </row>
    <row r="178" ht="15.6" customHeight="1">
      <c r="A178" s="190" t="n">
        <v>176</v>
      </c>
      <c r="B178" s="188" t="n"/>
      <c r="C178" s="123" t="n"/>
      <c r="D178" s="238" t="n"/>
      <c r="E178" s="238" t="n"/>
      <c r="F178" s="154" t="n"/>
      <c r="G178" s="129" t="n"/>
      <c r="H178" s="121" t="n"/>
      <c r="I178" s="253" t="n"/>
      <c r="J178" s="154" t="n"/>
      <c r="K178" s="127">
        <f>J178-F178</f>
        <v/>
      </c>
      <c r="L178" s="180">
        <f>K172*24*60</f>
        <v/>
      </c>
      <c r="M178" s="180">
        <f>K172*24</f>
        <v/>
      </c>
    </row>
    <row r="179" ht="15.6" customHeight="1">
      <c r="A179" s="190" t="n">
        <v>177</v>
      </c>
      <c r="B179" s="188" t="n"/>
      <c r="C179" s="123" t="n"/>
      <c r="D179" s="238" t="n"/>
      <c r="E179" s="238" t="n"/>
      <c r="F179" s="154" t="n"/>
      <c r="G179" s="129" t="n"/>
      <c r="H179" s="121" t="n"/>
      <c r="I179" s="253" t="n"/>
      <c r="J179" s="154" t="n"/>
      <c r="K179" s="127">
        <f>J179-F179</f>
        <v/>
      </c>
      <c r="L179" s="180">
        <f>K173*24*60</f>
        <v/>
      </c>
      <c r="M179" s="180">
        <f>K173*24</f>
        <v/>
      </c>
    </row>
    <row r="180" ht="15.6" customHeight="1">
      <c r="A180" s="190" t="n">
        <v>178</v>
      </c>
      <c r="B180" s="188" t="n"/>
      <c r="C180" s="123" t="n"/>
      <c r="D180" s="238" t="n"/>
      <c r="E180" s="238" t="n"/>
      <c r="F180" s="154" t="n"/>
      <c r="G180" s="129" t="n"/>
      <c r="H180" s="121" t="n"/>
      <c r="I180" s="253" t="n"/>
      <c r="J180" s="154" t="n"/>
      <c r="K180" s="127">
        <f>J180-F180</f>
        <v/>
      </c>
      <c r="L180" s="180">
        <f>K174*24*60</f>
        <v/>
      </c>
      <c r="M180" s="180">
        <f>K174*24</f>
        <v/>
      </c>
    </row>
    <row r="181" ht="15.6" customHeight="1">
      <c r="A181" s="190" t="n">
        <v>179</v>
      </c>
      <c r="B181" s="188" t="n"/>
      <c r="C181" s="123" t="n"/>
      <c r="D181" s="238" t="n"/>
      <c r="E181" s="238" t="n"/>
      <c r="F181" s="154" t="n"/>
      <c r="G181" s="129" t="n"/>
      <c r="H181" s="121" t="n"/>
      <c r="I181" s="253" t="n"/>
      <c r="J181" s="154" t="n"/>
      <c r="K181" s="127">
        <f>J181-F181</f>
        <v/>
      </c>
      <c r="L181" s="180">
        <f>K175*24*60</f>
        <v/>
      </c>
      <c r="M181" s="180">
        <f>K175*24</f>
        <v/>
      </c>
    </row>
    <row r="182" ht="15.6" customHeight="1">
      <c r="A182" s="190" t="n">
        <v>180</v>
      </c>
      <c r="B182" s="188" t="n"/>
      <c r="C182" s="123" t="n"/>
      <c r="D182" s="238" t="n"/>
      <c r="E182" s="238" t="n"/>
      <c r="F182" s="154" t="n"/>
      <c r="G182" s="129" t="n"/>
      <c r="H182" s="121" t="n"/>
      <c r="I182" s="253" t="n"/>
      <c r="J182" s="154" t="n"/>
      <c r="K182" s="127">
        <f>J182-F182</f>
        <v/>
      </c>
      <c r="L182" s="180">
        <f>K176*24*60</f>
        <v/>
      </c>
      <c r="M182" s="180">
        <f>K176*24</f>
        <v/>
      </c>
    </row>
    <row r="183" ht="15.6" customHeight="1">
      <c r="A183" s="190" t="n">
        <v>181</v>
      </c>
      <c r="B183" s="188" t="n"/>
      <c r="C183" s="123" t="n"/>
      <c r="D183" s="238" t="n"/>
      <c r="E183" s="238" t="n"/>
      <c r="F183" s="154" t="n"/>
      <c r="G183" s="129" t="n"/>
      <c r="H183" s="121" t="n"/>
      <c r="I183" s="253" t="n"/>
      <c r="J183" s="154" t="n"/>
      <c r="K183" s="127">
        <f>J183-F183</f>
        <v/>
      </c>
      <c r="L183" s="180">
        <f>K177*24*60</f>
        <v/>
      </c>
      <c r="M183" s="180">
        <f>K177*24</f>
        <v/>
      </c>
    </row>
    <row r="184" ht="15.6" customHeight="1">
      <c r="A184" s="190" t="n">
        <v>182</v>
      </c>
      <c r="B184" s="188" t="n"/>
      <c r="C184" s="123" t="n"/>
      <c r="D184" s="238" t="n"/>
      <c r="E184" s="238" t="n"/>
      <c r="F184" s="154" t="n"/>
      <c r="G184" s="129" t="n"/>
      <c r="H184" s="121" t="n"/>
      <c r="I184" s="253" t="n"/>
      <c r="J184" s="154" t="n"/>
      <c r="K184" s="127">
        <f>J184-F184</f>
        <v/>
      </c>
      <c r="L184" s="180">
        <f>K178*24*60</f>
        <v/>
      </c>
      <c r="M184" s="180">
        <f>K178*24</f>
        <v/>
      </c>
    </row>
    <row r="185" ht="15.6" customHeight="1">
      <c r="A185" s="190" t="n">
        <v>183</v>
      </c>
      <c r="B185" s="188" t="n"/>
      <c r="C185" s="123" t="n"/>
      <c r="D185" s="238" t="n"/>
      <c r="E185" s="238" t="n"/>
      <c r="F185" s="154" t="n"/>
      <c r="G185" s="129" t="n"/>
      <c r="H185" s="121" t="n"/>
      <c r="I185" s="253" t="n"/>
      <c r="J185" s="154" t="n"/>
      <c r="K185" s="127">
        <f>J185-F185</f>
        <v/>
      </c>
      <c r="L185" s="180">
        <f>K179*24*60</f>
        <v/>
      </c>
      <c r="M185" s="180">
        <f>K179*24</f>
        <v/>
      </c>
    </row>
    <row r="186" ht="15.6" customHeight="1">
      <c r="A186" s="190" t="n">
        <v>184</v>
      </c>
      <c r="B186" s="188" t="n"/>
      <c r="C186" s="123" t="n"/>
      <c r="D186" s="238" t="n"/>
      <c r="E186" s="238" t="n"/>
      <c r="F186" s="154" t="n"/>
      <c r="G186" s="129" t="n"/>
      <c r="H186" s="121" t="n"/>
      <c r="I186" s="253" t="n"/>
      <c r="J186" s="154" t="n"/>
      <c r="K186" s="127">
        <f>J186-F186</f>
        <v/>
      </c>
      <c r="L186" s="180">
        <f>K180*24*60</f>
        <v/>
      </c>
      <c r="M186" s="180">
        <f>K180*24</f>
        <v/>
      </c>
    </row>
    <row r="187" ht="15.6" customHeight="1">
      <c r="A187" s="190" t="n">
        <v>185</v>
      </c>
      <c r="B187" s="188" t="n"/>
      <c r="C187" s="123" t="n"/>
      <c r="D187" s="238" t="n"/>
      <c r="E187" s="238" t="n"/>
      <c r="F187" s="154" t="n"/>
      <c r="G187" s="129" t="n"/>
      <c r="H187" s="121" t="n"/>
      <c r="I187" s="173" t="n"/>
      <c r="J187" s="154" t="n"/>
      <c r="K187" s="127">
        <f>J187-F187</f>
        <v/>
      </c>
      <c r="L187" s="180">
        <f>K181*24*60</f>
        <v/>
      </c>
      <c r="M187" s="180">
        <f>K181*24</f>
        <v/>
      </c>
    </row>
    <row r="188" ht="15.6" customHeight="1">
      <c r="A188" s="190" t="n">
        <v>186</v>
      </c>
      <c r="B188" s="188" t="n"/>
      <c r="C188" s="123" t="n"/>
      <c r="D188" s="238" t="n"/>
      <c r="E188" s="238" t="n"/>
      <c r="F188" s="154" t="n"/>
      <c r="G188" s="129" t="n"/>
      <c r="H188" s="121" t="n"/>
      <c r="I188" s="173" t="n"/>
      <c r="J188" s="154" t="n"/>
      <c r="K188" s="127">
        <f>J188-F188</f>
        <v/>
      </c>
      <c r="L188" s="180">
        <f>K182*24*60</f>
        <v/>
      </c>
      <c r="M188" s="180">
        <f>K182*24</f>
        <v/>
      </c>
    </row>
    <row r="189" ht="15.6" customHeight="1">
      <c r="A189" s="190" t="n">
        <v>187</v>
      </c>
      <c r="B189" s="188" t="n"/>
      <c r="C189" s="123" t="n"/>
      <c r="D189" s="238" t="n"/>
      <c r="E189" s="238" t="n"/>
      <c r="F189" s="154" t="n"/>
      <c r="G189" s="129" t="n"/>
      <c r="H189" s="121" t="n"/>
      <c r="I189" s="173" t="n"/>
      <c r="J189" s="154" t="n"/>
      <c r="K189" s="127">
        <f>J189-F189</f>
        <v/>
      </c>
      <c r="L189" s="180">
        <f>K183*24*60</f>
        <v/>
      </c>
      <c r="M189" s="180">
        <f>K183*24</f>
        <v/>
      </c>
    </row>
    <row r="190" ht="15.6" customHeight="1">
      <c r="A190" s="190" t="n">
        <v>188</v>
      </c>
      <c r="B190" s="188" t="n"/>
      <c r="C190" s="123" t="n"/>
      <c r="D190" s="238" t="n"/>
      <c r="E190" s="238" t="n"/>
      <c r="F190" s="154" t="n"/>
      <c r="G190" s="129" t="n"/>
      <c r="H190" s="121" t="n"/>
      <c r="I190" s="173" t="n"/>
      <c r="J190" s="154" t="n"/>
      <c r="K190" s="127">
        <f>J190-F190</f>
        <v/>
      </c>
      <c r="L190" s="180">
        <f>K184*24*60</f>
        <v/>
      </c>
      <c r="M190" s="180">
        <f>K184*24</f>
        <v/>
      </c>
    </row>
    <row r="191" ht="15.6" customHeight="1">
      <c r="A191" s="190" t="n">
        <v>189</v>
      </c>
      <c r="B191" s="188" t="n"/>
      <c r="C191" s="123" t="n"/>
      <c r="D191" s="238" t="n"/>
      <c r="E191" s="238" t="n"/>
      <c r="F191" s="154" t="n"/>
      <c r="G191" s="129" t="n"/>
      <c r="H191" s="121" t="n"/>
      <c r="I191" s="173" t="n"/>
      <c r="J191" s="154" t="n"/>
      <c r="K191" s="127">
        <f>J191-F191</f>
        <v/>
      </c>
      <c r="L191" s="180">
        <f>K185*24*60</f>
        <v/>
      </c>
      <c r="M191" s="180">
        <f>K185*24</f>
        <v/>
      </c>
    </row>
    <row r="192" ht="15.6" customHeight="1">
      <c r="A192" s="190" t="n">
        <v>190</v>
      </c>
      <c r="B192" s="188" t="n"/>
      <c r="C192" s="123" t="n"/>
      <c r="D192" s="238" t="n"/>
      <c r="E192" s="238" t="n"/>
      <c r="F192" s="154" t="n"/>
      <c r="G192" s="129" t="n"/>
      <c r="H192" s="121" t="n"/>
      <c r="I192" s="173" t="n"/>
      <c r="J192" s="154" t="n"/>
      <c r="K192" s="127">
        <f>J192-F192</f>
        <v/>
      </c>
      <c r="L192" s="180">
        <f>K186*24*60</f>
        <v/>
      </c>
      <c r="M192" s="180">
        <f>K186*24</f>
        <v/>
      </c>
    </row>
    <row r="193" ht="15.6" customHeight="1">
      <c r="A193" s="190" t="n">
        <v>191</v>
      </c>
      <c r="B193" s="188" t="n"/>
      <c r="C193" s="123" t="n"/>
      <c r="D193" s="238" t="n"/>
      <c r="E193" s="238" t="n"/>
      <c r="F193" s="154" t="n"/>
      <c r="G193" s="129" t="n"/>
      <c r="H193" s="121" t="n"/>
      <c r="I193" s="173" t="n"/>
      <c r="J193" s="154" t="n"/>
      <c r="K193" s="127">
        <f>J193-F193</f>
        <v/>
      </c>
      <c r="L193" s="180">
        <f>K187*24*60</f>
        <v/>
      </c>
      <c r="M193" s="180">
        <f>K187*24</f>
        <v/>
      </c>
    </row>
    <row r="194" ht="15.6" customHeight="1">
      <c r="A194" s="190" t="n">
        <v>192</v>
      </c>
      <c r="B194" s="188" t="n"/>
      <c r="C194" s="123" t="n"/>
      <c r="D194" s="238" t="n"/>
      <c r="E194" s="238" t="n"/>
      <c r="F194" s="154" t="n"/>
      <c r="G194" s="129" t="n"/>
      <c r="H194" s="121" t="n"/>
      <c r="I194" s="173" t="n"/>
      <c r="J194" s="154" t="n"/>
      <c r="K194" s="127">
        <f>J194-F194</f>
        <v/>
      </c>
      <c r="L194" s="180">
        <f>K188*24*60</f>
        <v/>
      </c>
      <c r="M194" s="180">
        <f>K188*24</f>
        <v/>
      </c>
    </row>
    <row r="195" ht="15.6" customHeight="1">
      <c r="A195" s="190" t="n">
        <v>193</v>
      </c>
      <c r="B195" s="188" t="n"/>
      <c r="C195" s="123" t="n"/>
      <c r="D195" s="238" t="n"/>
      <c r="E195" s="238" t="n"/>
      <c r="F195" s="154" t="n"/>
      <c r="G195" s="129" t="n"/>
      <c r="H195" s="121" t="n"/>
      <c r="I195" s="173" t="n"/>
      <c r="J195" s="154" t="n"/>
      <c r="K195" s="127">
        <f>J195-F195</f>
        <v/>
      </c>
      <c r="L195" s="180">
        <f>K189*24*60</f>
        <v/>
      </c>
      <c r="M195" s="180">
        <f>K189*24</f>
        <v/>
      </c>
    </row>
    <row r="196" ht="15.6" customHeight="1">
      <c r="A196" s="190" t="n">
        <v>194</v>
      </c>
      <c r="B196" s="188" t="n"/>
      <c r="C196" s="123" t="n"/>
      <c r="D196" s="238" t="n"/>
      <c r="E196" s="238" t="n"/>
      <c r="F196" s="154" t="n"/>
      <c r="G196" s="129" t="n"/>
      <c r="H196" s="121" t="n"/>
      <c r="I196" s="173" t="n"/>
      <c r="J196" s="154" t="n"/>
      <c r="K196" s="127">
        <f>J196-F196</f>
        <v/>
      </c>
      <c r="L196" s="180">
        <f>K190*24*60</f>
        <v/>
      </c>
      <c r="M196" s="180">
        <f>K190*24</f>
        <v/>
      </c>
    </row>
    <row r="197" ht="15.6" customHeight="1">
      <c r="A197" s="190" t="n">
        <v>195</v>
      </c>
      <c r="B197" s="188" t="n"/>
      <c r="C197" s="123" t="n"/>
      <c r="D197" s="238" t="n"/>
      <c r="E197" s="238" t="n"/>
      <c r="F197" s="154" t="n"/>
      <c r="G197" s="129" t="n"/>
      <c r="H197" s="121" t="n"/>
      <c r="I197" s="173" t="n"/>
      <c r="J197" s="154" t="n"/>
      <c r="K197" s="127">
        <f>J197-F197</f>
        <v/>
      </c>
      <c r="L197" s="180">
        <f>K191*24*60</f>
        <v/>
      </c>
      <c r="M197" s="180">
        <f>K191*24</f>
        <v/>
      </c>
    </row>
    <row r="198" ht="15.6" customHeight="1">
      <c r="A198" s="190" t="n">
        <v>196</v>
      </c>
      <c r="B198" s="188" t="n"/>
      <c r="C198" s="123" t="n"/>
      <c r="D198" s="238" t="n"/>
      <c r="E198" s="238" t="n"/>
      <c r="F198" s="154" t="n"/>
      <c r="G198" s="129" t="n"/>
      <c r="H198" s="121" t="n"/>
      <c r="I198" s="173" t="n"/>
      <c r="J198" s="154" t="n"/>
      <c r="K198" s="127">
        <f>J198-F198</f>
        <v/>
      </c>
      <c r="L198" s="180">
        <f>K192*24*60</f>
        <v/>
      </c>
      <c r="M198" s="180">
        <f>K192*24</f>
        <v/>
      </c>
    </row>
    <row r="199" ht="15.6" customHeight="1">
      <c r="A199" s="190" t="n">
        <v>197</v>
      </c>
      <c r="B199" s="188" t="n"/>
      <c r="C199" s="123" t="n"/>
      <c r="D199" s="238" t="n"/>
      <c r="E199" s="238" t="n"/>
      <c r="F199" s="154" t="n"/>
      <c r="G199" s="129" t="n"/>
      <c r="H199" s="121" t="n"/>
      <c r="I199" s="173" t="n"/>
      <c r="J199" s="154" t="n"/>
      <c r="K199" s="127">
        <f>J199-F199</f>
        <v/>
      </c>
      <c r="L199" s="180">
        <f>K193*24*60</f>
        <v/>
      </c>
      <c r="M199" s="180">
        <f>K193*24</f>
        <v/>
      </c>
    </row>
    <row r="200" ht="15.6" customHeight="1">
      <c r="A200" s="190" t="n">
        <v>198</v>
      </c>
      <c r="B200" s="188" t="n"/>
      <c r="C200" s="123" t="n"/>
      <c r="D200" s="238" t="n"/>
      <c r="E200" s="238" t="n"/>
      <c r="F200" s="154" t="n"/>
      <c r="G200" s="129" t="n"/>
      <c r="H200" s="121" t="n"/>
      <c r="I200" s="173" t="n"/>
      <c r="J200" s="154" t="n"/>
      <c r="K200" s="127">
        <f>J200-F200</f>
        <v/>
      </c>
      <c r="L200" s="180">
        <f>K194*24*60</f>
        <v/>
      </c>
      <c r="M200" s="180">
        <f>K194*24</f>
        <v/>
      </c>
    </row>
    <row r="201" ht="15.6" customHeight="1">
      <c r="A201" s="190" t="n">
        <v>199</v>
      </c>
      <c r="B201" s="188" t="n"/>
      <c r="C201" s="123" t="n"/>
      <c r="D201" s="238" t="n"/>
      <c r="E201" s="238" t="n"/>
      <c r="F201" s="154" t="n"/>
      <c r="G201" s="129" t="n"/>
      <c r="H201" s="121" t="n"/>
      <c r="I201" s="173" t="n"/>
      <c r="J201" s="154" t="n"/>
      <c r="K201" s="127">
        <f>J201-F201</f>
        <v/>
      </c>
      <c r="L201" s="180">
        <f>K195*24*60</f>
        <v/>
      </c>
      <c r="M201" s="180">
        <f>K195*24</f>
        <v/>
      </c>
    </row>
    <row r="202" ht="15.6" customHeight="1">
      <c r="A202" s="190" t="n">
        <v>200</v>
      </c>
      <c r="B202" s="188" t="n"/>
      <c r="C202" s="123" t="n"/>
      <c r="D202" s="238" t="n"/>
      <c r="E202" s="238" t="n"/>
      <c r="F202" s="154" t="n"/>
      <c r="G202" s="129" t="n"/>
      <c r="H202" s="121" t="n"/>
      <c r="I202" s="173" t="n"/>
      <c r="J202" s="154" t="n"/>
      <c r="K202" s="127">
        <f>J202-F202</f>
        <v/>
      </c>
      <c r="L202" s="180">
        <f>K196*24*60</f>
        <v/>
      </c>
      <c r="M202" s="180">
        <f>K196*24</f>
        <v/>
      </c>
    </row>
    <row r="203" ht="15.6" customHeight="1">
      <c r="A203" s="190" t="n">
        <v>201</v>
      </c>
      <c r="B203" s="188" t="n"/>
      <c r="C203" s="123" t="n"/>
      <c r="D203" s="238" t="n"/>
      <c r="E203" s="238" t="n"/>
      <c r="F203" s="154" t="n"/>
      <c r="G203" s="129" t="n"/>
      <c r="H203" s="121" t="n"/>
      <c r="I203" s="173" t="n"/>
      <c r="J203" s="154" t="n"/>
      <c r="K203" s="127">
        <f>J203-F203</f>
        <v/>
      </c>
      <c r="L203" s="180">
        <f>K197*24*60</f>
        <v/>
      </c>
      <c r="M203" s="180">
        <f>K197*24</f>
        <v/>
      </c>
    </row>
    <row r="204" ht="15.6" customHeight="1">
      <c r="A204" s="190" t="n">
        <v>202</v>
      </c>
      <c r="B204" s="188" t="n"/>
      <c r="C204" s="123" t="n"/>
      <c r="D204" s="238" t="n"/>
      <c r="E204" s="238" t="n"/>
      <c r="F204" s="154" t="n"/>
      <c r="G204" s="129" t="n"/>
      <c r="H204" s="121" t="n"/>
      <c r="I204" s="173" t="n"/>
      <c r="J204" s="154" t="n"/>
      <c r="K204" s="127">
        <f>J204-F204</f>
        <v/>
      </c>
      <c r="L204" s="180">
        <f>K198*24*60</f>
        <v/>
      </c>
      <c r="M204" s="180">
        <f>K198*24</f>
        <v/>
      </c>
    </row>
    <row r="205" ht="15.6" customHeight="1">
      <c r="A205" s="190" t="n">
        <v>203</v>
      </c>
      <c r="B205" s="188" t="n"/>
      <c r="C205" s="123" t="n"/>
      <c r="D205" s="238" t="n"/>
      <c r="E205" s="238" t="n"/>
      <c r="F205" s="154" t="n"/>
      <c r="G205" s="129" t="n"/>
      <c r="H205" s="121" t="n"/>
      <c r="I205" s="173" t="n"/>
      <c r="J205" s="154" t="n"/>
      <c r="K205" s="127">
        <f>J205-F205</f>
        <v/>
      </c>
      <c r="L205" s="180">
        <f>K199*24*60</f>
        <v/>
      </c>
      <c r="M205" s="180">
        <f>K199*24</f>
        <v/>
      </c>
    </row>
    <row r="206" ht="15.6" customHeight="1">
      <c r="A206" s="190" t="n">
        <v>204</v>
      </c>
      <c r="B206" s="188" t="n"/>
      <c r="C206" s="123" t="n"/>
      <c r="D206" s="238" t="n"/>
      <c r="E206" s="238" t="n"/>
      <c r="F206" s="154" t="n"/>
      <c r="G206" s="129" t="n"/>
      <c r="H206" s="121" t="n"/>
      <c r="I206" s="173" t="n"/>
      <c r="J206" s="154" t="n"/>
      <c r="K206" s="127">
        <f>J206-F206</f>
        <v/>
      </c>
      <c r="L206" s="180">
        <f>K200*24*60</f>
        <v/>
      </c>
      <c r="M206" s="180">
        <f>K200*24</f>
        <v/>
      </c>
    </row>
    <row r="207" ht="15.6" customHeight="1">
      <c r="A207" s="190" t="n">
        <v>205</v>
      </c>
      <c r="B207" s="188" t="n"/>
      <c r="C207" s="123" t="n"/>
      <c r="D207" s="238" t="n"/>
      <c r="E207" s="238" t="n"/>
      <c r="F207" s="154" t="n"/>
      <c r="G207" s="129" t="n"/>
      <c r="H207" s="121" t="n"/>
      <c r="I207" s="173" t="n"/>
      <c r="J207" s="154" t="n"/>
      <c r="K207" s="127">
        <f>J207-F207</f>
        <v/>
      </c>
      <c r="L207" s="180">
        <f>K201*24*60</f>
        <v/>
      </c>
      <c r="M207" s="180">
        <f>K201*24</f>
        <v/>
      </c>
    </row>
    <row r="208" ht="15.6" customHeight="1">
      <c r="A208" s="190" t="n">
        <v>206</v>
      </c>
      <c r="B208" s="188" t="n"/>
      <c r="C208" s="123" t="n"/>
      <c r="D208" s="238" t="n"/>
      <c r="E208" s="238" t="n"/>
      <c r="F208" s="154" t="n"/>
      <c r="G208" s="129" t="n"/>
      <c r="H208" s="121" t="n"/>
      <c r="I208" s="173" t="n"/>
      <c r="J208" s="154" t="n"/>
      <c r="K208" s="127">
        <f>J208-F208</f>
        <v/>
      </c>
      <c r="L208" s="180">
        <f>K202*24*60</f>
        <v/>
      </c>
      <c r="M208" s="180">
        <f>K202*24</f>
        <v/>
      </c>
    </row>
    <row r="209" ht="15.6" customHeight="1">
      <c r="A209" s="190" t="n">
        <v>207</v>
      </c>
      <c r="B209" s="188" t="n"/>
      <c r="C209" s="123" t="n"/>
      <c r="D209" s="238" t="n"/>
      <c r="E209" s="238" t="n"/>
      <c r="F209" s="154" t="n"/>
      <c r="G209" s="129" t="n"/>
      <c r="H209" s="121" t="n"/>
      <c r="I209" s="173" t="n"/>
      <c r="J209" s="154" t="n"/>
      <c r="K209" s="127">
        <f>J209-F209</f>
        <v/>
      </c>
      <c r="L209" s="180">
        <f>K203*24*60</f>
        <v/>
      </c>
      <c r="M209" s="180">
        <f>K203*24</f>
        <v/>
      </c>
    </row>
    <row r="210" ht="15.6" customHeight="1">
      <c r="A210" s="190" t="n">
        <v>208</v>
      </c>
      <c r="G210" s="129" t="n"/>
    </row>
    <row r="211" ht="15.6" customHeight="1">
      <c r="A211" s="190" t="n">
        <v>209</v>
      </c>
      <c r="G211" s="129" t="n"/>
    </row>
    <row r="212" ht="15.6" customHeight="1">
      <c r="A212" s="190" t="n">
        <v>210</v>
      </c>
      <c r="G212" s="129" t="n"/>
    </row>
    <row r="213" ht="15.6" customHeight="1">
      <c r="A213" s="190" t="n">
        <v>211</v>
      </c>
      <c r="G213" s="129" t="n"/>
    </row>
    <row r="214" ht="15.6" customHeight="1">
      <c r="A214" s="190" t="n">
        <v>212</v>
      </c>
      <c r="G214" s="129" t="n"/>
    </row>
    <row r="215" ht="15.6" customHeight="1">
      <c r="A215" s="190" t="n">
        <v>213</v>
      </c>
      <c r="G215" s="129" t="n"/>
    </row>
    <row r="216" ht="15.6" customHeight="1">
      <c r="A216" s="190" t="n">
        <v>214</v>
      </c>
      <c r="G216" s="129" t="n"/>
    </row>
    <row r="217" ht="15.6" customHeight="1">
      <c r="A217" s="190" t="n">
        <v>215</v>
      </c>
      <c r="G217" s="129" t="n"/>
    </row>
    <row r="218" ht="15.6" customHeight="1">
      <c r="A218" s="190" t="n">
        <v>216</v>
      </c>
      <c r="G218" s="129" t="n"/>
    </row>
    <row r="219" ht="15.6" customHeight="1">
      <c r="A219" s="190" t="n">
        <v>217</v>
      </c>
      <c r="G219" s="129" t="n"/>
    </row>
    <row r="220" ht="15.6" customHeight="1">
      <c r="A220" s="190" t="n">
        <v>218</v>
      </c>
      <c r="G220" s="129" t="n"/>
    </row>
    <row r="221" ht="15.6" customHeight="1">
      <c r="A221" s="190" t="n">
        <v>219</v>
      </c>
      <c r="G221" s="129" t="n"/>
    </row>
    <row r="222" ht="15.6" customHeight="1">
      <c r="A222" s="190" t="n">
        <v>220</v>
      </c>
      <c r="G222" s="129" t="n"/>
    </row>
    <row r="223" ht="15.6" customHeight="1">
      <c r="A223" s="190" t="n">
        <v>221</v>
      </c>
      <c r="G223" s="129" t="n"/>
    </row>
    <row r="224" ht="15.6" customHeight="1">
      <c r="A224" s="190" t="n">
        <v>222</v>
      </c>
      <c r="G224" s="129" t="n"/>
    </row>
    <row r="225" ht="15.6" customHeight="1">
      <c r="A225" s="190" t="n">
        <v>223</v>
      </c>
      <c r="G225" s="129" t="n"/>
    </row>
    <row r="226" ht="15.6" customHeight="1">
      <c r="A226" s="190" t="n">
        <v>224</v>
      </c>
      <c r="G226" s="129" t="n"/>
    </row>
    <row r="227" ht="15.6" customHeight="1">
      <c r="A227" s="190" t="n">
        <v>225</v>
      </c>
      <c r="G227" s="129" t="n"/>
    </row>
    <row r="228" ht="15.6" customHeight="1">
      <c r="A228" s="190" t="n">
        <v>226</v>
      </c>
      <c r="G228" s="129" t="n"/>
    </row>
    <row r="229" ht="15.6" customHeight="1">
      <c r="A229" s="190" t="n">
        <v>227</v>
      </c>
      <c r="G229" s="129" t="n"/>
    </row>
    <row r="230" ht="15.6" customHeight="1">
      <c r="A230" s="190" t="n">
        <v>228</v>
      </c>
      <c r="G230" s="129" t="n"/>
    </row>
    <row r="231" ht="15.6" customHeight="1">
      <c r="A231" s="190" t="n">
        <v>229</v>
      </c>
      <c r="G231" s="129" t="n"/>
    </row>
    <row r="232" ht="15.6" customHeight="1">
      <c r="A232" s="190" t="n">
        <v>230</v>
      </c>
      <c r="G232" s="129" t="n"/>
    </row>
    <row r="233" ht="15.6" customHeight="1">
      <c r="A233" s="190" t="n">
        <v>231</v>
      </c>
      <c r="G233" s="129" t="n"/>
    </row>
    <row r="234" ht="15.6" customHeight="1">
      <c r="A234" s="190" t="n">
        <v>232</v>
      </c>
      <c r="G234" s="129" t="n"/>
    </row>
    <row r="235" ht="15.6" customHeight="1">
      <c r="A235" s="190" t="n">
        <v>233</v>
      </c>
      <c r="G235" s="129" t="n"/>
    </row>
    <row r="236" ht="15.6" customHeight="1">
      <c r="A236" s="190" t="n">
        <v>234</v>
      </c>
      <c r="G236" s="129" t="n"/>
    </row>
    <row r="237" ht="15.6" customHeight="1">
      <c r="A237" s="190" t="n">
        <v>235</v>
      </c>
      <c r="G237" s="129" t="n"/>
    </row>
    <row r="238" ht="15.6" customHeight="1">
      <c r="A238" s="190" t="n">
        <v>236</v>
      </c>
      <c r="G238" s="129" t="n"/>
    </row>
    <row r="239" ht="15.6" customHeight="1">
      <c r="A239" s="190" t="n">
        <v>237</v>
      </c>
      <c r="G239" s="129" t="n"/>
    </row>
    <row r="240" ht="15.6" customHeight="1">
      <c r="A240" s="190" t="n">
        <v>238</v>
      </c>
      <c r="G240" s="129" t="n"/>
    </row>
    <row r="241" ht="15.6" customHeight="1">
      <c r="A241" s="190" t="n">
        <v>239</v>
      </c>
      <c r="G241" s="129" t="n"/>
    </row>
    <row r="242" ht="15.6" customHeight="1">
      <c r="A242" s="190" t="n">
        <v>240</v>
      </c>
      <c r="G242" s="129" t="n"/>
    </row>
    <row r="243" ht="15.6" customHeight="1">
      <c r="A243" s="190" t="n">
        <v>241</v>
      </c>
      <c r="G243" s="129" t="n"/>
    </row>
    <row r="244" ht="15.6" customHeight="1">
      <c r="A244" s="190" t="n">
        <v>242</v>
      </c>
      <c r="G244" s="129" t="n"/>
    </row>
    <row r="245" ht="15.6" customHeight="1">
      <c r="A245" s="190" t="n">
        <v>243</v>
      </c>
      <c r="G245" s="129" t="n"/>
    </row>
    <row r="246" ht="15.6" customHeight="1">
      <c r="A246" s="190" t="n">
        <v>244</v>
      </c>
      <c r="G246" s="129" t="n"/>
    </row>
    <row r="247" ht="15.6" customHeight="1">
      <c r="A247" s="190" t="n">
        <v>245</v>
      </c>
      <c r="G247" s="129" t="n"/>
    </row>
    <row r="248" ht="15.6" customHeight="1">
      <c r="A248" s="190" t="n">
        <v>246</v>
      </c>
      <c r="G248" s="129" t="n"/>
    </row>
    <row r="249" ht="15.6" customHeight="1">
      <c r="G249" s="129" t="n"/>
    </row>
    <row r="250" ht="15.6" customHeight="1">
      <c r="G250" s="129" t="n"/>
    </row>
    <row r="251" ht="15.6" customHeight="1">
      <c r="G251" s="129" t="n"/>
    </row>
    <row r="252" ht="15.6" customHeight="1">
      <c r="G252" s="129" t="n"/>
    </row>
    <row r="253" ht="15.6" customHeight="1">
      <c r="G253" s="129" t="n"/>
    </row>
    <row r="254" ht="15.6" customHeight="1">
      <c r="G254" s="129" t="n"/>
    </row>
    <row r="255" ht="15.6" customHeight="1">
      <c r="G255" s="129" t="n"/>
    </row>
    <row r="256" ht="15.6" customHeight="1">
      <c r="G256" s="129" t="n"/>
    </row>
    <row r="257" ht="15.6" customHeight="1">
      <c r="G257" s="129" t="n"/>
    </row>
    <row r="258" ht="15.6" customHeight="1">
      <c r="G258" s="129" t="n"/>
    </row>
    <row r="259" ht="15.6" customHeight="1">
      <c r="G259" s="129" t="n"/>
    </row>
    <row r="260" ht="15.6" customHeight="1">
      <c r="G260" s="129" t="n"/>
    </row>
    <row r="261" ht="15.6" customHeight="1">
      <c r="G261" s="129" t="n"/>
    </row>
    <row r="262" ht="15.6" customHeight="1">
      <c r="G262" s="129" t="n"/>
    </row>
    <row r="263" ht="15.6" customHeight="1">
      <c r="G263" s="129" t="n"/>
    </row>
    <row r="264" ht="15.6" customHeight="1">
      <c r="G264" s="129" t="n"/>
    </row>
    <row r="265" ht="15.6" customHeight="1">
      <c r="G265" s="129" t="n"/>
    </row>
    <row r="266" ht="15.6" customHeight="1">
      <c r="G266" s="129" t="n"/>
    </row>
    <row r="267" ht="15.6" customHeight="1">
      <c r="G267" s="129" t="n"/>
    </row>
    <row r="268" ht="15.6" customHeight="1">
      <c r="G268" s="129" t="n"/>
    </row>
    <row r="269" ht="15.6" customHeight="1">
      <c r="G269" s="129" t="n"/>
    </row>
    <row r="270" ht="15.6" customHeight="1">
      <c r="G270" s="129" t="n"/>
    </row>
    <row r="271" ht="15.6" customHeight="1">
      <c r="G271" s="129" t="n"/>
    </row>
    <row r="272" ht="15.6" customHeight="1">
      <c r="G272" s="129" t="n"/>
    </row>
    <row r="273" ht="15.6" customHeight="1">
      <c r="G273" s="129" t="n"/>
    </row>
    <row r="274" ht="15.6" customHeight="1">
      <c r="G274" s="129" t="n"/>
    </row>
    <row r="275" ht="15.6" customHeight="1">
      <c r="G275" s="129" t="n"/>
    </row>
    <row r="276" ht="15.6" customHeight="1">
      <c r="G276" s="129" t="n"/>
    </row>
    <row r="277" ht="15.6" customHeight="1">
      <c r="G277" s="129" t="n"/>
    </row>
    <row r="278" ht="15.6" customHeight="1">
      <c r="G278" s="129" t="n"/>
    </row>
    <row r="279" ht="15.6" customHeight="1">
      <c r="G279" s="129" t="n"/>
    </row>
    <row r="280" ht="15.6" customHeight="1">
      <c r="G280" s="129" t="n"/>
    </row>
    <row r="281" ht="15.6" customHeight="1">
      <c r="G281" s="129" t="n"/>
    </row>
    <row r="282" ht="15.6" customHeight="1">
      <c r="G282" s="129" t="n"/>
    </row>
    <row r="283" ht="15.6" customHeight="1">
      <c r="G283" s="129" t="n"/>
    </row>
    <row r="284" ht="15.6" customHeight="1">
      <c r="G284" s="129" t="n"/>
    </row>
    <row r="285" ht="15.6" customHeight="1">
      <c r="G285" s="129" t="n"/>
    </row>
    <row r="286" ht="15.6" customHeight="1">
      <c r="G286" s="129" t="n"/>
    </row>
    <row r="287" ht="15.6" customHeight="1">
      <c r="G287" s="129" t="n"/>
    </row>
    <row r="288" ht="15.6" customHeight="1">
      <c r="G288" s="129" t="n"/>
    </row>
    <row r="289" ht="15.6" customHeight="1">
      <c r="G289" s="129" t="n"/>
    </row>
    <row r="290" ht="15.6" customHeight="1">
      <c r="G290" s="129" t="n"/>
    </row>
    <row r="291" ht="15.6" customHeight="1">
      <c r="G291" s="129" t="n"/>
    </row>
    <row r="292" ht="15.6" customHeight="1">
      <c r="G292" s="129" t="n"/>
    </row>
    <row r="293" ht="15.6" customHeight="1">
      <c r="G293" s="129" t="n"/>
    </row>
    <row r="294" ht="15.6" customHeight="1">
      <c r="G294" s="129" t="n"/>
    </row>
    <row r="295" ht="15.6" customHeight="1">
      <c r="G295" s="129" t="n"/>
    </row>
    <row r="296" ht="15.6" customHeight="1">
      <c r="G296" s="129" t="n"/>
    </row>
    <row r="297" ht="15.6" customHeight="1">
      <c r="G297" s="129" t="n"/>
    </row>
    <row r="298" ht="15.6" customHeight="1">
      <c r="G298" s="129" t="n"/>
    </row>
    <row r="299" ht="15.6" customHeight="1">
      <c r="G299" s="129" t="n"/>
    </row>
    <row r="300" ht="15.6" customHeight="1">
      <c r="G300" s="129" t="n"/>
    </row>
    <row r="301" ht="15.6" customHeight="1">
      <c r="G301" s="129" t="n"/>
    </row>
    <row r="302" ht="15.6" customHeight="1">
      <c r="G302" s="129" t="n"/>
    </row>
    <row r="303" ht="15.6" customHeight="1">
      <c r="G303" s="129" t="n"/>
    </row>
    <row r="304" ht="15.6" customHeight="1">
      <c r="G304" s="129" t="n"/>
    </row>
    <row r="305" ht="15.6" customHeight="1">
      <c r="G305" s="129" t="n"/>
    </row>
    <row r="306" ht="15.6" customHeight="1">
      <c r="G306" s="129" t="n"/>
    </row>
    <row r="307" ht="15.6" customHeight="1">
      <c r="G307" s="129" t="n"/>
    </row>
    <row r="308" ht="15.6" customHeight="1">
      <c r="G308" s="129" t="n"/>
    </row>
    <row r="309" ht="15.6" customHeight="1">
      <c r="G309" s="129" t="n"/>
    </row>
    <row r="310" ht="15.6" customHeight="1">
      <c r="G310" s="129" t="n"/>
    </row>
    <row r="311" ht="15.6" customHeight="1">
      <c r="G311" s="129" t="n"/>
    </row>
    <row r="312" ht="15.6" customHeight="1">
      <c r="G312" s="129" t="n"/>
    </row>
    <row r="313" ht="15.6" customHeight="1">
      <c r="G313" s="129" t="n"/>
    </row>
    <row r="314" ht="15.6" customHeight="1">
      <c r="G314" s="129" t="n"/>
    </row>
    <row r="315" ht="15.6" customHeight="1">
      <c r="G315" s="129" t="n"/>
    </row>
    <row r="316" ht="15.6" customHeight="1">
      <c r="G316" s="129" t="n"/>
    </row>
    <row r="317" ht="15.6" customHeight="1">
      <c r="G317" s="129" t="n"/>
    </row>
    <row r="318" ht="15.6" customHeight="1">
      <c r="G318" s="129" t="n"/>
    </row>
    <row r="319" ht="15.6" customHeight="1">
      <c r="G319" s="129" t="n"/>
    </row>
    <row r="320" ht="15.6" customHeight="1">
      <c r="G320" s="129" t="n"/>
    </row>
    <row r="321" ht="15.6" customHeight="1">
      <c r="G321" s="129" t="n"/>
    </row>
    <row r="322" ht="15.6" customHeight="1">
      <c r="G322" s="129" t="n"/>
    </row>
    <row r="323" ht="15.6" customHeight="1">
      <c r="G323" s="129" t="n"/>
    </row>
    <row r="324" ht="15.6" customHeight="1">
      <c r="G324" s="129" t="n"/>
    </row>
    <row r="325" ht="15.6" customHeight="1">
      <c r="G325" s="129" t="n"/>
    </row>
    <row r="326" ht="15.6" customHeight="1">
      <c r="G326" s="129" t="n"/>
    </row>
    <row r="327" ht="15.6" customHeight="1">
      <c r="G327" s="129" t="n"/>
    </row>
    <row r="328" ht="15.6" customHeight="1">
      <c r="G328" s="129" t="n"/>
    </row>
    <row r="329" ht="15.6" customHeight="1">
      <c r="G329" s="129" t="n"/>
    </row>
    <row r="330" ht="15.6" customHeight="1">
      <c r="G330" s="129" t="n"/>
    </row>
    <row r="331" ht="15.6" customHeight="1">
      <c r="G331" s="129" t="n"/>
    </row>
    <row r="332" ht="15.6" customHeight="1">
      <c r="G332" s="129" t="n"/>
    </row>
    <row r="1046613">
      <c r="H1046613" s="100" t="n"/>
    </row>
    <row r="1047590">
      <c r="F1047590" s="147" t="n"/>
    </row>
    <row r="1048522">
      <c r="J1048522" s="147" t="n">
        <v>45142.93055555555</v>
      </c>
    </row>
  </sheetData>
  <mergeCells count="1">
    <mergeCell ref="A1:M1"/>
  </mergeCells>
  <dataValidations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M1046615"/>
  <sheetViews>
    <sheetView zoomScaleNormal="100" workbookViewId="0">
      <pane ySplit="2" topLeftCell="A3" activePane="bottomLeft" state="frozen"/>
      <selection pane="bottomLeft" activeCell="B3" sqref="B3"/>
    </sheetView>
  </sheetViews>
  <sheetFormatPr baseColWidth="8" defaultColWidth="0" defaultRowHeight="14.45"/>
  <cols>
    <col width="5.5703125" bestFit="1" customWidth="1" style="24" min="1" max="1"/>
    <col width="25.28515625" bestFit="1" customWidth="1" style="24" min="2" max="2"/>
    <col width="38.28515625" bestFit="1" customWidth="1" style="7" min="3" max="3"/>
    <col width="18.28515625" bestFit="1" customWidth="1" style="24" min="4" max="4"/>
    <col width="23.42578125" bestFit="1" customWidth="1" style="24" min="5" max="5"/>
    <col width="21.28515625" bestFit="1" customWidth="1" style="24" min="6" max="6"/>
    <col width="22.140625" bestFit="1" customWidth="1" style="24" min="7" max="7"/>
    <col width="19.7109375" bestFit="1" customWidth="1" style="7" min="8" max="8"/>
    <col width="18" customWidth="1" style="24" min="9" max="9"/>
    <col width="21.28515625" bestFit="1" customWidth="1" style="24" min="10" max="10"/>
    <col width="20" bestFit="1" customWidth="1" style="24" min="11" max="11"/>
    <col width="16.7109375" bestFit="1" customWidth="1" style="24" min="12" max="12"/>
    <col width="17.140625" bestFit="1" customWidth="1" style="24" min="13" max="13"/>
    <col width="5.42578125" customWidth="1" style="24" min="14" max="14"/>
    <col hidden="1" width="11.42578125" customWidth="1" style="24" min="15" max="16383"/>
    <col hidden="1" width="3.140625" customWidth="1" style="24" min="16384" max="16384"/>
  </cols>
  <sheetData>
    <row r="1" ht="36" customFormat="1" customHeight="1" s="191" thickBot="1">
      <c r="A1" s="319" t="inlineStr">
        <is>
          <t>Planilla Control de Eventos Correo S@MI</t>
        </is>
      </c>
      <c r="B1" s="359" t="n"/>
      <c r="C1" s="359" t="n"/>
      <c r="D1" s="359" t="n"/>
      <c r="E1" s="359" t="n"/>
      <c r="F1" s="359" t="n"/>
      <c r="G1" s="359" t="n"/>
      <c r="H1" s="359" t="n"/>
      <c r="I1" s="359" t="n"/>
      <c r="J1" s="359" t="n"/>
      <c r="K1" s="359" t="n"/>
      <c r="L1" s="359" t="n"/>
      <c r="M1" s="359" t="n"/>
    </row>
    <row r="2" ht="42.75" customFormat="1" customHeight="1" s="192" thickTop="1">
      <c r="A2" s="120" t="inlineStr">
        <is>
          <t>Item</t>
        </is>
      </c>
      <c r="B2" s="120" t="inlineStr">
        <is>
          <t>Elemento</t>
        </is>
      </c>
      <c r="C2" s="120" t="inlineStr">
        <is>
          <t>Analista</t>
        </is>
      </c>
      <c r="D2" s="120" t="inlineStr">
        <is>
          <t>Numero de Ticket</t>
        </is>
      </c>
      <c r="E2" s="120" t="inlineStr">
        <is>
          <t>Descripcion del Evento</t>
        </is>
      </c>
      <c r="F2" s="120" t="inlineStr">
        <is>
          <t xml:space="preserve">Fecha/Hora Inicio Evento </t>
        </is>
      </c>
      <c r="G2" s="120" t="inlineStr">
        <is>
          <t>Causa</t>
        </is>
      </c>
      <c r="H2" s="120" t="inlineStr">
        <is>
          <t>Areas Involucradas</t>
        </is>
      </c>
      <c r="I2" s="120" t="inlineStr">
        <is>
          <t>Solucion</t>
        </is>
      </c>
      <c r="J2" s="120" t="inlineStr">
        <is>
          <t xml:space="preserve">Fecha/Hora Fin Evento </t>
        </is>
      </c>
      <c r="K2" s="214" t="inlineStr">
        <is>
          <t>Tiempo Total</t>
        </is>
      </c>
      <c r="L2" s="214" t="inlineStr">
        <is>
          <t>Tiempo Minutos</t>
        </is>
      </c>
      <c r="M2" s="214" t="inlineStr">
        <is>
          <t>Tiempo en Horas</t>
        </is>
      </c>
    </row>
    <row r="3" ht="15.75" customFormat="1" customHeight="1" s="196">
      <c r="A3" s="193" t="n">
        <v>1</v>
      </c>
      <c r="B3" s="194" t="n"/>
      <c r="C3" s="123" t="n"/>
      <c r="D3" s="195" t="n"/>
      <c r="E3" s="194" t="n"/>
      <c r="F3" s="133" t="n"/>
      <c r="H3" s="121" t="n"/>
      <c r="J3" s="133" t="n"/>
      <c r="K3" s="151">
        <f>J3-F3</f>
        <v/>
      </c>
      <c r="L3" s="152">
        <f>K3*24*60</f>
        <v/>
      </c>
      <c r="M3" s="153">
        <f>K3*24</f>
        <v/>
      </c>
    </row>
    <row r="4" ht="15.6" customFormat="1" customHeight="1" s="196">
      <c r="A4" s="197" t="n">
        <v>2</v>
      </c>
      <c r="B4" s="194" t="n"/>
      <c r="C4" s="123" t="n"/>
      <c r="D4" s="139" t="n"/>
      <c r="E4" s="194" t="n"/>
      <c r="F4" s="176" t="n"/>
      <c r="G4" s="141" t="n"/>
      <c r="H4" s="121" t="n"/>
      <c r="I4" s="141" t="n"/>
      <c r="J4" s="176" t="n"/>
      <c r="K4" s="151">
        <f>J4-F4</f>
        <v/>
      </c>
      <c r="L4" s="152">
        <f>K4*24*60</f>
        <v/>
      </c>
      <c r="M4" s="153">
        <f>K4*24</f>
        <v/>
      </c>
    </row>
    <row r="5" ht="14.25" customFormat="1" customHeight="1" s="196">
      <c r="A5" s="197" t="n">
        <v>3</v>
      </c>
      <c r="B5" s="198" t="n"/>
      <c r="C5" s="123" t="n"/>
      <c r="D5" s="140" t="n"/>
      <c r="E5" s="141" t="n"/>
      <c r="F5" s="199" t="n"/>
      <c r="G5" s="141" t="n"/>
      <c r="H5" s="121" t="n"/>
      <c r="I5" s="200" t="n"/>
      <c r="J5" s="199" t="n"/>
      <c r="K5" s="151">
        <f>J5-F5</f>
        <v/>
      </c>
      <c r="L5" s="152">
        <f>K5*24*60</f>
        <v/>
      </c>
      <c r="M5" s="153">
        <f>K5*24</f>
        <v/>
      </c>
    </row>
    <row r="6" ht="15.75" customFormat="1" customHeight="1" s="196">
      <c r="A6" s="197" t="n">
        <v>4</v>
      </c>
      <c r="B6" s="201" t="n"/>
      <c r="C6" s="123" t="n"/>
      <c r="D6" s="202" t="n"/>
      <c r="E6" s="203" t="n"/>
      <c r="F6" s="204" t="n"/>
      <c r="G6" s="205" t="n"/>
      <c r="H6" s="121" t="n"/>
      <c r="I6" s="206" t="n"/>
      <c r="J6" s="204" t="n"/>
      <c r="K6" s="151">
        <f>J6-F6</f>
        <v/>
      </c>
      <c r="L6" s="152">
        <f>K6*24*60</f>
        <v/>
      </c>
      <c r="M6" s="153">
        <f>K6*24</f>
        <v/>
      </c>
    </row>
    <row r="7" ht="15.75" customFormat="1" customHeight="1" s="196">
      <c r="A7" s="197" t="n">
        <v>5</v>
      </c>
      <c r="B7" s="201" t="n"/>
      <c r="C7" s="123" t="n"/>
      <c r="D7" s="202" t="n"/>
      <c r="E7" s="201" t="n"/>
      <c r="F7" s="204" t="n"/>
      <c r="G7" s="205" t="n"/>
      <c r="H7" s="121" t="n"/>
      <c r="I7" s="206" t="n"/>
      <c r="J7" s="204" t="n"/>
      <c r="K7" s="151">
        <f>J7-F7</f>
        <v/>
      </c>
      <c r="L7" s="152">
        <f>K7*24*60</f>
        <v/>
      </c>
      <c r="M7" s="153">
        <f>K7*24</f>
        <v/>
      </c>
    </row>
    <row r="8" ht="15.6" customFormat="1" customHeight="1" s="196">
      <c r="A8" s="197" t="n">
        <v>6</v>
      </c>
      <c r="B8" s="201" t="n"/>
      <c r="C8" s="123" t="n"/>
      <c r="D8" s="202" t="n"/>
      <c r="E8" s="201" t="n"/>
      <c r="F8" s="204" t="n"/>
      <c r="G8" s="205" t="n"/>
      <c r="H8" s="121" t="n"/>
      <c r="I8" s="206" t="n"/>
      <c r="J8" s="204" t="n"/>
      <c r="K8" s="151">
        <f>J8-F8</f>
        <v/>
      </c>
      <c r="L8" s="152">
        <f>K8*24*60</f>
        <v/>
      </c>
      <c r="M8" s="153">
        <f>K8*24</f>
        <v/>
      </c>
    </row>
    <row r="9" ht="15.6" customFormat="1" customHeight="1" s="196">
      <c r="A9" s="197" t="n">
        <v>7</v>
      </c>
      <c r="B9" s="201" t="n"/>
      <c r="C9" s="123" t="n"/>
      <c r="D9" s="202" t="n"/>
      <c r="E9" s="203" t="n"/>
      <c r="F9" s="204" t="n"/>
      <c r="G9" s="205" t="n"/>
      <c r="H9" s="121" t="n"/>
      <c r="I9" s="206" t="n"/>
      <c r="J9" s="204" t="n"/>
      <c r="K9" s="151">
        <f>J9-F9</f>
        <v/>
      </c>
      <c r="L9" s="152">
        <f>K9*24*60</f>
        <v/>
      </c>
      <c r="M9" s="153">
        <f>K9*24</f>
        <v/>
      </c>
    </row>
    <row r="10" ht="15.6" customFormat="1" customHeight="1" s="196">
      <c r="A10" s="197" t="n">
        <v>8</v>
      </c>
      <c r="B10" s="201" t="n"/>
      <c r="C10" s="123" t="n"/>
      <c r="D10" s="202" t="n"/>
      <c r="E10" s="203" t="n"/>
      <c r="F10" s="204" t="n"/>
      <c r="G10" s="205" t="n"/>
      <c r="H10" s="121" t="n"/>
      <c r="I10" s="206" t="n"/>
      <c r="J10" s="204" t="n"/>
      <c r="K10" s="151">
        <f>J10-F10</f>
        <v/>
      </c>
      <c r="L10" s="152">
        <f>K10*24*60</f>
        <v/>
      </c>
      <c r="M10" s="153">
        <f>K10*24</f>
        <v/>
      </c>
    </row>
    <row r="11" ht="15.6" customFormat="1" customHeight="1" s="196">
      <c r="A11" s="197" t="n">
        <v>9</v>
      </c>
      <c r="B11" s="201" t="n"/>
      <c r="C11" s="123" t="n"/>
      <c r="D11" s="202" t="n"/>
      <c r="E11" s="203" t="n"/>
      <c r="F11" s="204" t="n"/>
      <c r="G11" s="205" t="n"/>
      <c r="H11" s="121" t="n"/>
      <c r="I11" s="206" t="n"/>
      <c r="J11" s="204" t="n"/>
      <c r="K11" s="151">
        <f>J11-F11</f>
        <v/>
      </c>
      <c r="L11" s="152">
        <f>K11*24*60</f>
        <v/>
      </c>
      <c r="M11" s="153">
        <f>K11*24</f>
        <v/>
      </c>
    </row>
    <row r="12" ht="15.6" customFormat="1" customHeight="1" s="196">
      <c r="A12" s="197" t="n">
        <v>10</v>
      </c>
      <c r="B12" s="201" t="n"/>
      <c r="C12" s="123" t="n"/>
      <c r="D12" s="202" t="n"/>
      <c r="E12" s="203" t="n"/>
      <c r="F12" s="204" t="n"/>
      <c r="G12" s="205" t="n"/>
      <c r="H12" s="121" t="n"/>
      <c r="I12" s="206" t="n"/>
      <c r="J12" s="204" t="n"/>
      <c r="K12" s="151">
        <f>J12-F12</f>
        <v/>
      </c>
      <c r="L12" s="152">
        <f>K12*24*60</f>
        <v/>
      </c>
      <c r="M12" s="153">
        <f>K12*24</f>
        <v/>
      </c>
    </row>
    <row r="13" ht="15.6" customFormat="1" customHeight="1" s="196">
      <c r="A13" s="197" t="n">
        <v>11</v>
      </c>
      <c r="B13" s="201" t="n"/>
      <c r="C13" s="123" t="n"/>
      <c r="D13" s="202" t="n"/>
      <c r="E13" s="203" t="n"/>
      <c r="F13" s="204" t="n"/>
      <c r="G13" s="205" t="n"/>
      <c r="H13" s="121" t="n"/>
      <c r="I13" s="206" t="n"/>
      <c r="J13" s="204" t="n"/>
      <c r="K13" s="151">
        <f>J13-F13</f>
        <v/>
      </c>
      <c r="L13" s="152">
        <f>K13*24*60</f>
        <v/>
      </c>
      <c r="M13" s="153">
        <f>K13*24</f>
        <v/>
      </c>
    </row>
    <row r="14" ht="15.6" customFormat="1" customHeight="1" s="196">
      <c r="A14" s="197" t="n">
        <v>12</v>
      </c>
      <c r="B14" s="201" t="n"/>
      <c r="C14" s="123" t="n"/>
      <c r="D14" s="202" t="n"/>
      <c r="E14" s="203" t="n"/>
      <c r="F14" s="204" t="n"/>
      <c r="G14" s="205" t="n"/>
      <c r="H14" s="121" t="n"/>
      <c r="I14" s="206" t="n"/>
      <c r="J14" s="204" t="n"/>
      <c r="K14" s="151">
        <f>J14-F14</f>
        <v/>
      </c>
      <c r="L14" s="152">
        <f>K14*24*60</f>
        <v/>
      </c>
      <c r="M14" s="153">
        <f>K14*24</f>
        <v/>
      </c>
    </row>
    <row r="15" ht="15.6" customFormat="1" customHeight="1" s="196">
      <c r="A15" s="197" t="n">
        <v>13</v>
      </c>
      <c r="B15" s="201" t="n"/>
      <c r="C15" s="123" t="n"/>
      <c r="D15" s="202" t="n"/>
      <c r="E15" s="203" t="n"/>
      <c r="F15" s="204" t="n"/>
      <c r="G15" s="205" t="n"/>
      <c r="H15" s="121" t="n"/>
      <c r="I15" s="206" t="n"/>
      <c r="J15" s="204" t="n"/>
      <c r="K15" s="151">
        <f>J15-F15</f>
        <v/>
      </c>
      <c r="L15" s="152">
        <f>K15*24*60</f>
        <v/>
      </c>
      <c r="M15" s="153">
        <f>K15*24</f>
        <v/>
      </c>
    </row>
    <row r="16" ht="15.6" customFormat="1" customHeight="1" s="196">
      <c r="A16" s="197" t="n">
        <v>14</v>
      </c>
      <c r="B16" s="201" t="n"/>
      <c r="C16" s="123" t="n"/>
      <c r="D16" s="202" t="n"/>
      <c r="E16" s="203" t="n"/>
      <c r="F16" s="204" t="n"/>
      <c r="G16" s="205" t="n"/>
      <c r="H16" s="121" t="n"/>
      <c r="I16" s="206" t="n"/>
      <c r="J16" s="204" t="n"/>
      <c r="K16" s="151">
        <f>J16-F16</f>
        <v/>
      </c>
      <c r="L16" s="152">
        <f>K16*24*60</f>
        <v/>
      </c>
      <c r="M16" s="153">
        <f>K16*24</f>
        <v/>
      </c>
    </row>
    <row r="17" ht="15.6" customFormat="1" customHeight="1" s="196">
      <c r="A17" s="197" t="n">
        <v>15</v>
      </c>
      <c r="B17" s="201" t="n"/>
      <c r="C17" s="123" t="n"/>
      <c r="D17" s="202" t="n"/>
      <c r="E17" s="203" t="n"/>
      <c r="F17" s="204" t="n"/>
      <c r="G17" s="205" t="n"/>
      <c r="H17" s="121" t="n"/>
      <c r="I17" s="206" t="n"/>
      <c r="J17" s="204" t="n"/>
      <c r="K17" s="151">
        <f>J17-F17</f>
        <v/>
      </c>
      <c r="L17" s="152">
        <f>K17*24*60</f>
        <v/>
      </c>
      <c r="M17" s="153">
        <f>K17*24</f>
        <v/>
      </c>
    </row>
    <row r="18" ht="15.6" customFormat="1" customHeight="1" s="196">
      <c r="A18" s="197" t="n">
        <v>16</v>
      </c>
      <c r="B18" s="201" t="n"/>
      <c r="C18" s="123" t="n"/>
      <c r="D18" s="202" t="n"/>
      <c r="E18" s="203" t="n"/>
      <c r="F18" s="204" t="n"/>
      <c r="G18" s="205" t="n"/>
      <c r="H18" s="121" t="n"/>
      <c r="I18" s="206" t="n"/>
      <c r="J18" s="204" t="n"/>
      <c r="K18" s="151">
        <f>J18-F18</f>
        <v/>
      </c>
      <c r="L18" s="152">
        <f>K18*24*60</f>
        <v/>
      </c>
      <c r="M18" s="153">
        <f>K18*24</f>
        <v/>
      </c>
    </row>
    <row r="19" ht="15.6" customFormat="1" customHeight="1" s="196">
      <c r="A19" s="197" t="n">
        <v>17</v>
      </c>
      <c r="B19" s="201" t="n"/>
      <c r="C19" s="123" t="n"/>
      <c r="D19" s="202" t="n"/>
      <c r="E19" s="203" t="n"/>
      <c r="F19" s="203" t="n"/>
      <c r="G19" s="205" t="n"/>
      <c r="H19" s="121" t="n"/>
      <c r="I19" s="206" t="n"/>
      <c r="J19" s="204" t="n"/>
      <c r="K19" s="151">
        <f>J19-F19</f>
        <v/>
      </c>
      <c r="L19" s="152">
        <f>K19*24*60</f>
        <v/>
      </c>
      <c r="M19" s="153">
        <f>K19*24</f>
        <v/>
      </c>
    </row>
    <row r="20" ht="15.6" customFormat="1" customHeight="1" s="196">
      <c r="A20" s="197" t="n">
        <v>18</v>
      </c>
      <c r="B20" s="201" t="n"/>
      <c r="C20" s="123" t="n"/>
      <c r="D20" s="202" t="n"/>
      <c r="F20" s="204" t="n"/>
      <c r="G20" s="205" t="n"/>
      <c r="H20" s="121" t="n"/>
      <c r="I20" s="206" t="n"/>
      <c r="J20" s="204" t="n"/>
      <c r="K20" s="151">
        <f>J20-F20</f>
        <v/>
      </c>
      <c r="L20" s="152">
        <f>K20*24*60</f>
        <v/>
      </c>
      <c r="M20" s="153">
        <f>K20*24</f>
        <v/>
      </c>
    </row>
    <row r="21" ht="15.6" customFormat="1" customHeight="1" s="196">
      <c r="A21" s="197" t="n">
        <v>19</v>
      </c>
      <c r="B21" s="201" t="n"/>
      <c r="C21" s="123" t="n"/>
      <c r="D21" s="202" t="n"/>
      <c r="E21" s="203" t="n"/>
      <c r="F21" s="204" t="n"/>
      <c r="G21" s="205" t="n"/>
      <c r="H21" s="121" t="n"/>
      <c r="I21" s="206" t="n"/>
      <c r="J21" s="204" t="n"/>
      <c r="K21" s="151">
        <f>J21-F21</f>
        <v/>
      </c>
      <c r="L21" s="152">
        <f>K21*24*60</f>
        <v/>
      </c>
      <c r="M21" s="153">
        <f>K21*24</f>
        <v/>
      </c>
    </row>
    <row r="22" ht="15.6" customFormat="1" customHeight="1" s="196">
      <c r="A22" s="197" t="n">
        <v>20</v>
      </c>
      <c r="B22" s="201" t="n"/>
      <c r="C22" s="123" t="n"/>
      <c r="D22" s="202" t="n"/>
      <c r="E22" s="203" t="n"/>
      <c r="F22" s="204" t="n"/>
      <c r="G22" s="205" t="n"/>
      <c r="H22" s="121" t="n"/>
      <c r="I22" s="206" t="n"/>
      <c r="J22" s="204" t="n"/>
      <c r="K22" s="151">
        <f>J22-F22</f>
        <v/>
      </c>
      <c r="L22" s="152">
        <f>K22*24*60</f>
        <v/>
      </c>
      <c r="M22" s="153">
        <f>K22*24</f>
        <v/>
      </c>
    </row>
    <row r="23" ht="15.6" customFormat="1" customHeight="1" s="196">
      <c r="A23" s="197" t="n">
        <v>21</v>
      </c>
      <c r="B23" s="201" t="n"/>
      <c r="C23" s="123" t="n"/>
      <c r="D23" s="202" t="n"/>
      <c r="E23" s="203" t="n"/>
      <c r="F23" s="204" t="n"/>
      <c r="G23" s="205" t="n"/>
      <c r="H23" s="121" t="n"/>
      <c r="I23" s="206" t="n"/>
      <c r="J23" s="204" t="n"/>
      <c r="K23" s="151">
        <f>J23-F23</f>
        <v/>
      </c>
      <c r="L23" s="152">
        <f>K23*24*60</f>
        <v/>
      </c>
      <c r="M23" s="153">
        <f>K23*24</f>
        <v/>
      </c>
    </row>
    <row r="24" ht="15.6" customFormat="1" customHeight="1" s="196">
      <c r="A24" s="197" t="n">
        <v>22</v>
      </c>
      <c r="B24" s="201" t="n"/>
      <c r="C24" s="123" t="n"/>
      <c r="D24" s="202" t="n"/>
      <c r="E24" s="203" t="n"/>
      <c r="F24" s="204" t="n"/>
      <c r="G24" s="205" t="n"/>
      <c r="H24" s="121" t="n"/>
      <c r="I24" s="206" t="n"/>
      <c r="J24" s="204" t="n"/>
      <c r="K24" s="151">
        <f>J24-F24</f>
        <v/>
      </c>
      <c r="L24" s="152">
        <f>K24*24*60</f>
        <v/>
      </c>
      <c r="M24" s="153">
        <f>K24*24</f>
        <v/>
      </c>
    </row>
    <row r="25" ht="15.6" customFormat="1" customHeight="1" s="196">
      <c r="A25" s="197" t="n">
        <v>23</v>
      </c>
      <c r="B25" s="201" t="n"/>
      <c r="C25" s="123" t="n"/>
      <c r="D25" s="202" t="n"/>
      <c r="E25" s="203" t="n"/>
      <c r="F25" s="204" t="n"/>
      <c r="G25" s="205" t="n"/>
      <c r="H25" s="121" t="n"/>
      <c r="I25" s="206" t="n"/>
      <c r="J25" s="204" t="n"/>
      <c r="K25" s="151">
        <f>J25-F25</f>
        <v/>
      </c>
      <c r="L25" s="152">
        <f>K25*24*60</f>
        <v/>
      </c>
      <c r="M25" s="153">
        <f>K25*24</f>
        <v/>
      </c>
    </row>
    <row r="26" ht="15.6" customFormat="1" customHeight="1" s="196">
      <c r="A26" s="197" t="n">
        <v>24</v>
      </c>
      <c r="B26" s="201" t="n"/>
      <c r="C26" s="123" t="n"/>
      <c r="D26" s="202" t="n"/>
      <c r="E26" s="203" t="n"/>
      <c r="F26" s="204" t="n"/>
      <c r="G26" s="205" t="n"/>
      <c r="H26" s="121" t="n"/>
      <c r="I26" s="206" t="n"/>
      <c r="J26" s="204" t="n"/>
      <c r="K26" s="151">
        <f>J26-F26</f>
        <v/>
      </c>
      <c r="L26" s="152">
        <f>K26*24*60</f>
        <v/>
      </c>
      <c r="M26" s="153">
        <f>K26*24</f>
        <v/>
      </c>
    </row>
    <row r="27" ht="15.6" customFormat="1" customHeight="1" s="196">
      <c r="A27" s="197" t="n">
        <v>25</v>
      </c>
      <c r="B27" s="201" t="n"/>
      <c r="C27" s="123" t="n"/>
      <c r="D27" s="202" t="n"/>
      <c r="E27" s="203" t="n"/>
      <c r="F27" s="204" t="n"/>
      <c r="G27" s="205" t="n"/>
      <c r="H27" s="121" t="n"/>
      <c r="I27" s="206" t="n"/>
      <c r="J27" s="204" t="n"/>
      <c r="K27" s="151">
        <f>J27-F27</f>
        <v/>
      </c>
      <c r="L27" s="152">
        <f>K27*24*60</f>
        <v/>
      </c>
      <c r="M27" s="153">
        <f>K27*24</f>
        <v/>
      </c>
    </row>
    <row r="28" ht="15.6" customFormat="1" customHeight="1" s="196">
      <c r="A28" s="197" t="n">
        <v>26</v>
      </c>
      <c r="B28" s="201" t="n"/>
      <c r="C28" s="123" t="n"/>
      <c r="D28" s="202" t="n"/>
      <c r="E28" s="203" t="n"/>
      <c r="F28" s="204" t="n"/>
      <c r="G28" s="205" t="n"/>
      <c r="H28" s="121" t="n"/>
      <c r="I28" s="206" t="n"/>
      <c r="J28" s="204" t="n"/>
      <c r="K28" s="151">
        <f>J28-F28</f>
        <v/>
      </c>
      <c r="L28" s="152">
        <f>K28*24*60</f>
        <v/>
      </c>
      <c r="M28" s="153">
        <f>K28*24</f>
        <v/>
      </c>
    </row>
    <row r="29" ht="15.6" customFormat="1" customHeight="1" s="196">
      <c r="A29" s="197" t="n">
        <v>27</v>
      </c>
      <c r="B29" s="201" t="n"/>
      <c r="C29" s="123" t="n"/>
      <c r="D29" s="202" t="n"/>
      <c r="E29" s="203" t="n"/>
      <c r="F29" s="204" t="n"/>
      <c r="G29" s="205" t="n"/>
      <c r="H29" s="121" t="n"/>
      <c r="I29" s="206" t="n"/>
      <c r="J29" s="204" t="n"/>
      <c r="K29" s="151">
        <f>J29-F29</f>
        <v/>
      </c>
      <c r="L29" s="152">
        <f>K29*24*60</f>
        <v/>
      </c>
      <c r="M29" s="153">
        <f>K29*24</f>
        <v/>
      </c>
    </row>
    <row r="30" ht="15.6" customFormat="1" customHeight="1" s="196">
      <c r="A30" s="197" t="n">
        <v>28</v>
      </c>
      <c r="B30" s="201" t="n"/>
      <c r="C30" s="123" t="n"/>
      <c r="D30" s="202" t="n"/>
      <c r="E30" s="203" t="n"/>
      <c r="F30" s="204" t="n"/>
      <c r="G30" s="205" t="n"/>
      <c r="H30" s="121" t="n"/>
      <c r="I30" s="206" t="n"/>
      <c r="J30" s="204" t="n"/>
      <c r="K30" s="151">
        <f>J30-F30</f>
        <v/>
      </c>
      <c r="L30" s="152">
        <f>K30*24*60</f>
        <v/>
      </c>
      <c r="M30" s="153">
        <f>K30*24</f>
        <v/>
      </c>
    </row>
    <row r="31" ht="15.6" customFormat="1" customHeight="1" s="196">
      <c r="A31" s="197" t="n">
        <v>29</v>
      </c>
      <c r="B31" s="201" t="n"/>
      <c r="C31" s="123" t="n"/>
      <c r="D31" s="202" t="n"/>
      <c r="E31" s="203" t="n"/>
      <c r="F31" s="204" t="n"/>
      <c r="G31" s="205" t="n"/>
      <c r="H31" s="121" t="n"/>
      <c r="I31" s="206" t="n"/>
      <c r="J31" s="204" t="n"/>
      <c r="K31" s="151">
        <f>J31-F31</f>
        <v/>
      </c>
      <c r="L31" s="152">
        <f>K31*24*60</f>
        <v/>
      </c>
      <c r="M31" s="153">
        <f>K31*24</f>
        <v/>
      </c>
    </row>
    <row r="32" ht="15.6" customFormat="1" customHeight="1" s="196">
      <c r="A32" s="197" t="n">
        <v>30</v>
      </c>
      <c r="B32" s="201" t="n"/>
      <c r="C32" s="123" t="n"/>
      <c r="D32" s="202" t="n"/>
      <c r="E32" s="203" t="n"/>
      <c r="F32" s="204" t="n"/>
      <c r="G32" s="205" t="n"/>
      <c r="H32" s="121" t="n"/>
      <c r="I32" s="206" t="n"/>
      <c r="J32" s="204" t="n"/>
      <c r="K32" s="151">
        <f>J32-F32</f>
        <v/>
      </c>
      <c r="L32" s="152">
        <f>K32*24*60</f>
        <v/>
      </c>
      <c r="M32" s="153">
        <f>K32*24</f>
        <v/>
      </c>
    </row>
    <row r="33" ht="15.6" customFormat="1" customHeight="1" s="196">
      <c r="A33" s="197" t="n">
        <v>31</v>
      </c>
      <c r="B33" s="201" t="n"/>
      <c r="C33" s="123" t="n"/>
      <c r="D33" s="202" t="n"/>
      <c r="E33" s="203" t="n"/>
      <c r="F33" s="204" t="n"/>
      <c r="G33" s="205" t="n"/>
      <c r="H33" s="121" t="n"/>
      <c r="I33" s="206" t="n"/>
      <c r="J33" s="204" t="n"/>
      <c r="K33" s="151">
        <f>J33-F33</f>
        <v/>
      </c>
      <c r="L33" s="152">
        <f>K33*24*60</f>
        <v/>
      </c>
      <c r="M33" s="153">
        <f>K33*24</f>
        <v/>
      </c>
    </row>
    <row r="34" ht="15.6" customFormat="1" customHeight="1" s="196">
      <c r="A34" s="197" t="n">
        <v>32</v>
      </c>
      <c r="B34" s="201" t="n"/>
      <c r="C34" s="123" t="n"/>
      <c r="D34" s="202" t="n"/>
      <c r="E34" s="203" t="n"/>
      <c r="F34" s="204" t="n"/>
      <c r="G34" s="205" t="n"/>
      <c r="H34" s="121" t="n"/>
      <c r="I34" s="206" t="n"/>
      <c r="J34" s="204" t="n"/>
      <c r="K34" s="151">
        <f>J34-F34</f>
        <v/>
      </c>
      <c r="L34" s="152">
        <f>K34*24*60</f>
        <v/>
      </c>
      <c r="M34" s="153">
        <f>K34*24</f>
        <v/>
      </c>
    </row>
    <row r="35" ht="15.6" customFormat="1" customHeight="1" s="196">
      <c r="A35" s="197" t="n">
        <v>33</v>
      </c>
      <c r="B35" s="201" t="n"/>
      <c r="C35" s="123" t="n"/>
      <c r="D35" s="202" t="n"/>
      <c r="E35" s="203" t="n"/>
      <c r="F35" s="204" t="n"/>
      <c r="G35" s="205" t="n"/>
      <c r="H35" s="121" t="n"/>
      <c r="I35" s="206" t="n"/>
      <c r="J35" s="204" t="n"/>
      <c r="K35" s="151">
        <f>J35-F35</f>
        <v/>
      </c>
      <c r="L35" s="152">
        <f>K35*24*60</f>
        <v/>
      </c>
      <c r="M35" s="153">
        <f>K35*24</f>
        <v/>
      </c>
    </row>
    <row r="36" ht="15.6" customFormat="1" customHeight="1" s="196">
      <c r="A36" s="197" t="n">
        <v>34</v>
      </c>
      <c r="B36" s="201" t="n"/>
      <c r="C36" s="123" t="n"/>
      <c r="D36" s="202" t="n"/>
      <c r="E36" s="203" t="n"/>
      <c r="F36" s="204" t="n"/>
      <c r="G36" s="205" t="n"/>
      <c r="H36" s="121" t="n"/>
      <c r="I36" s="206" t="n"/>
      <c r="J36" s="204" t="n"/>
      <c r="K36" s="151">
        <f>J36-F36</f>
        <v/>
      </c>
      <c r="L36" s="152">
        <f>K36*24*60</f>
        <v/>
      </c>
      <c r="M36" s="153">
        <f>K36*24</f>
        <v/>
      </c>
    </row>
    <row r="37" ht="15.6" customFormat="1" customHeight="1" s="196">
      <c r="A37" s="197" t="n">
        <v>35</v>
      </c>
      <c r="B37" s="201" t="n"/>
      <c r="C37" s="123" t="n"/>
      <c r="D37" s="202" t="n"/>
      <c r="E37" s="203" t="n"/>
      <c r="F37" s="204" t="n"/>
      <c r="G37" s="205" t="n"/>
      <c r="H37" s="121" t="n"/>
      <c r="I37" s="206" t="n"/>
      <c r="J37" s="204" t="n"/>
      <c r="K37" s="151">
        <f>J37-F37</f>
        <v/>
      </c>
      <c r="L37" s="152">
        <f>K37*24*60</f>
        <v/>
      </c>
      <c r="M37" s="153">
        <f>K37*24</f>
        <v/>
      </c>
    </row>
    <row r="38" ht="15.6" customFormat="1" customHeight="1" s="196">
      <c r="A38" s="197" t="n">
        <v>36</v>
      </c>
      <c r="B38" s="201" t="n"/>
      <c r="C38" s="123" t="n"/>
      <c r="D38" s="202" t="n"/>
      <c r="E38" s="203" t="n"/>
      <c r="F38" s="204" t="n"/>
      <c r="G38" s="205" t="n"/>
      <c r="H38" s="121" t="n"/>
      <c r="I38" s="206" t="n"/>
      <c r="J38" s="204" t="n"/>
      <c r="K38" s="151">
        <f>J38-F38</f>
        <v/>
      </c>
      <c r="L38" s="152">
        <f>K38*24*60</f>
        <v/>
      </c>
      <c r="M38" s="153">
        <f>K38*24</f>
        <v/>
      </c>
    </row>
    <row r="39" ht="15.6" customFormat="1" customHeight="1" s="196">
      <c r="A39" s="197" t="n">
        <v>37</v>
      </c>
      <c r="B39" s="201" t="n"/>
      <c r="C39" s="123" t="n"/>
      <c r="D39" s="202" t="n"/>
      <c r="E39" s="203" t="n"/>
      <c r="F39" s="204" t="n"/>
      <c r="G39" s="205" t="n"/>
      <c r="H39" s="121" t="n"/>
      <c r="I39" s="206" t="n"/>
      <c r="J39" s="204" t="n"/>
      <c r="K39" s="151">
        <f>J39-F39</f>
        <v/>
      </c>
      <c r="L39" s="152">
        <f>K39*24*60</f>
        <v/>
      </c>
      <c r="M39" s="153">
        <f>K39*24</f>
        <v/>
      </c>
    </row>
    <row r="40" ht="15.6" customFormat="1" customHeight="1" s="196">
      <c r="A40" s="197" t="n">
        <v>38</v>
      </c>
      <c r="B40" s="201" t="n"/>
      <c r="C40" s="123" t="n"/>
      <c r="D40" s="202" t="n"/>
      <c r="E40" s="203" t="n"/>
      <c r="F40" s="204" t="n"/>
      <c r="G40" s="205" t="n"/>
      <c r="H40" s="121" t="n"/>
      <c r="I40" s="206" t="n"/>
      <c r="J40" s="204" t="n"/>
      <c r="K40" s="151">
        <f>J40-F40</f>
        <v/>
      </c>
      <c r="L40" s="152">
        <f>K40*24*60</f>
        <v/>
      </c>
      <c r="M40" s="153">
        <f>K40*24</f>
        <v/>
      </c>
    </row>
    <row r="41" ht="15.6" customFormat="1" customHeight="1" s="196">
      <c r="A41" s="197" t="n">
        <v>39</v>
      </c>
      <c r="B41" s="201" t="n"/>
      <c r="C41" s="123" t="n"/>
      <c r="D41" s="202" t="n"/>
      <c r="E41" s="203" t="n"/>
      <c r="F41" s="204" t="n"/>
      <c r="G41" s="205" t="n"/>
      <c r="H41" s="121" t="n"/>
      <c r="I41" s="206" t="n"/>
      <c r="J41" s="204" t="n"/>
      <c r="K41" s="151">
        <f>J41-F41</f>
        <v/>
      </c>
      <c r="L41" s="152">
        <f>K41*24*60</f>
        <v/>
      </c>
      <c r="M41" s="153">
        <f>K41*24</f>
        <v/>
      </c>
    </row>
    <row r="42" ht="15.6" customFormat="1" customHeight="1" s="196">
      <c r="A42" s="197" t="n">
        <v>40</v>
      </c>
      <c r="B42" s="201" t="n"/>
      <c r="C42" s="123" t="n"/>
      <c r="D42" s="202" t="n"/>
      <c r="E42" s="203" t="n"/>
      <c r="F42" s="204" t="n"/>
      <c r="G42" s="205" t="n"/>
      <c r="H42" s="121" t="n"/>
      <c r="I42" s="206" t="n"/>
      <c r="J42" s="204" t="n"/>
      <c r="K42" s="151">
        <f>J42-F42</f>
        <v/>
      </c>
      <c r="L42" s="152">
        <f>K42*24*60</f>
        <v/>
      </c>
      <c r="M42" s="153">
        <f>K42*24</f>
        <v/>
      </c>
    </row>
    <row r="43" ht="15.6" customFormat="1" customHeight="1" s="196">
      <c r="A43" s="197" t="n">
        <v>41</v>
      </c>
      <c r="B43" s="201" t="n"/>
      <c r="C43" s="123" t="n"/>
      <c r="D43" s="202" t="n"/>
      <c r="E43" s="203" t="n"/>
      <c r="F43" s="204" t="n"/>
      <c r="G43" s="205" t="n"/>
      <c r="H43" s="121" t="n"/>
      <c r="I43" s="206" t="n"/>
      <c r="J43" s="204" t="n"/>
      <c r="K43" s="151">
        <f>J43-F43</f>
        <v/>
      </c>
      <c r="L43" s="152">
        <f>K43*24*60</f>
        <v/>
      </c>
      <c r="M43" s="153">
        <f>K43*24</f>
        <v/>
      </c>
    </row>
    <row r="44" ht="15.6" customFormat="1" customHeight="1" s="196">
      <c r="A44" s="197" t="n">
        <v>42</v>
      </c>
      <c r="B44" s="201" t="n"/>
      <c r="C44" s="123" t="n"/>
      <c r="D44" s="202" t="n"/>
      <c r="E44" s="203" t="n"/>
      <c r="F44" s="204" t="n"/>
      <c r="G44" s="205" t="n"/>
      <c r="H44" s="121" t="n"/>
      <c r="I44" s="206" t="n"/>
      <c r="J44" s="204" t="n"/>
      <c r="K44" s="151">
        <f>J44-F44</f>
        <v/>
      </c>
      <c r="L44" s="152">
        <f>K44*24*60</f>
        <v/>
      </c>
      <c r="M44" s="153">
        <f>K44*24</f>
        <v/>
      </c>
    </row>
    <row r="45" ht="15.6" customFormat="1" customHeight="1" s="196">
      <c r="A45" s="197" t="n">
        <v>43</v>
      </c>
      <c r="B45" s="201" t="n"/>
      <c r="C45" s="123" t="n"/>
      <c r="D45" s="202" t="n"/>
      <c r="E45" s="203" t="n"/>
      <c r="F45" s="204" t="n"/>
      <c r="G45" s="205" t="n"/>
      <c r="H45" s="121" t="n"/>
      <c r="I45" s="206" t="n"/>
      <c r="J45" s="204" t="n"/>
      <c r="K45" s="151">
        <f>J45-F45</f>
        <v/>
      </c>
      <c r="L45" s="152">
        <f>K45*24*60</f>
        <v/>
      </c>
      <c r="M45" s="153">
        <f>K45*24</f>
        <v/>
      </c>
    </row>
    <row r="46" ht="15.6" customFormat="1" customHeight="1" s="196">
      <c r="A46" s="197" t="n">
        <v>44</v>
      </c>
      <c r="B46" s="201" t="n"/>
      <c r="C46" s="123" t="n"/>
      <c r="D46" s="202" t="n"/>
      <c r="E46" s="203" t="n"/>
      <c r="F46" s="204" t="n"/>
      <c r="G46" s="205" t="n"/>
      <c r="H46" s="121" t="n"/>
      <c r="I46" s="206" t="n"/>
      <c r="J46" s="204" t="n"/>
      <c r="K46" s="151">
        <f>J46-F46</f>
        <v/>
      </c>
      <c r="L46" s="152">
        <f>K46*24*60</f>
        <v/>
      </c>
      <c r="M46" s="153">
        <f>K46*24</f>
        <v/>
      </c>
    </row>
    <row r="47" ht="15.6" customFormat="1" customHeight="1" s="196">
      <c r="A47" s="197" t="n">
        <v>45</v>
      </c>
      <c r="B47" s="201" t="n"/>
      <c r="C47" s="123" t="n"/>
      <c r="D47" s="202" t="n"/>
      <c r="E47" s="203" t="n"/>
      <c r="F47" s="204" t="n"/>
      <c r="G47" s="205" t="n"/>
      <c r="H47" s="121" t="n"/>
      <c r="I47" s="206" t="n"/>
      <c r="J47" s="204" t="n"/>
      <c r="K47" s="151">
        <f>J47-F47</f>
        <v/>
      </c>
      <c r="L47" s="152">
        <f>K47*24*60</f>
        <v/>
      </c>
      <c r="M47" s="153">
        <f>K47*24</f>
        <v/>
      </c>
    </row>
    <row r="48" ht="15.6" customFormat="1" customHeight="1" s="196">
      <c r="A48" s="197" t="n">
        <v>46</v>
      </c>
      <c r="B48" s="201" t="n"/>
      <c r="C48" s="123" t="n"/>
      <c r="D48" s="202" t="n"/>
      <c r="E48" s="203" t="n"/>
      <c r="F48" s="204" t="n"/>
      <c r="G48" s="205" t="n"/>
      <c r="H48" s="121" t="n"/>
      <c r="I48" s="206" t="n"/>
      <c r="J48" s="204" t="n"/>
      <c r="K48" s="151">
        <f>J48-F48</f>
        <v/>
      </c>
      <c r="L48" s="152">
        <f>K48*24*60</f>
        <v/>
      </c>
      <c r="M48" s="153">
        <f>K48*24</f>
        <v/>
      </c>
    </row>
    <row r="49" ht="15.6" customFormat="1" customHeight="1" s="196">
      <c r="A49" s="197" t="n">
        <v>47</v>
      </c>
      <c r="B49" s="201" t="n"/>
      <c r="C49" s="123" t="n"/>
      <c r="D49" s="202" t="n"/>
      <c r="E49" s="203" t="n"/>
      <c r="F49" s="204" t="n"/>
      <c r="G49" s="205" t="n"/>
      <c r="H49" s="121" t="n"/>
      <c r="I49" s="206" t="n"/>
      <c r="J49" s="204" t="n"/>
      <c r="K49" s="151">
        <f>J49-F49</f>
        <v/>
      </c>
      <c r="L49" s="152">
        <f>K49*24*60</f>
        <v/>
      </c>
      <c r="M49" s="153">
        <f>K49*24</f>
        <v/>
      </c>
    </row>
    <row r="50" ht="15.6" customFormat="1" customHeight="1" s="196">
      <c r="A50" s="197" t="n">
        <v>48</v>
      </c>
      <c r="B50" s="201" t="n"/>
      <c r="C50" s="123" t="n"/>
      <c r="D50" s="202" t="n"/>
      <c r="E50" s="203" t="n"/>
      <c r="F50" s="204" t="n"/>
      <c r="G50" s="205" t="n"/>
      <c r="H50" s="121" t="n"/>
      <c r="I50" s="206" t="n"/>
      <c r="J50" s="204" t="n"/>
      <c r="K50" s="151">
        <f>J50-F50</f>
        <v/>
      </c>
      <c r="L50" s="152">
        <f>K50*24*60</f>
        <v/>
      </c>
      <c r="M50" s="153">
        <f>K50*24</f>
        <v/>
      </c>
    </row>
    <row r="51" ht="15.6" customFormat="1" customHeight="1" s="196">
      <c r="A51" s="197" t="n">
        <v>49</v>
      </c>
      <c r="B51" s="201" t="n"/>
      <c r="C51" s="123" t="n"/>
      <c r="D51" s="202" t="n"/>
      <c r="E51" s="203" t="n"/>
      <c r="F51" s="204" t="n"/>
      <c r="G51" s="205" t="n"/>
      <c r="H51" s="121" t="n"/>
      <c r="I51" s="206" t="n"/>
      <c r="J51" s="204" t="n"/>
      <c r="K51" s="151">
        <f>J51-F51</f>
        <v/>
      </c>
      <c r="L51" s="152">
        <f>K51*24*60</f>
        <v/>
      </c>
      <c r="M51" s="153">
        <f>K51*24</f>
        <v/>
      </c>
    </row>
    <row r="52" ht="15.6" customFormat="1" customHeight="1" s="196">
      <c r="A52" s="197" t="n">
        <v>50</v>
      </c>
      <c r="B52" s="201" t="n"/>
      <c r="C52" s="123" t="n"/>
      <c r="D52" s="202" t="n"/>
      <c r="E52" s="203" t="n"/>
      <c r="F52" s="204" t="n"/>
      <c r="G52" s="205" t="n"/>
      <c r="H52" s="121" t="n"/>
      <c r="I52" s="206" t="n"/>
      <c r="J52" s="204" t="n"/>
      <c r="K52" s="151">
        <f>J52-F52</f>
        <v/>
      </c>
      <c r="L52" s="152">
        <f>K52*24*60</f>
        <v/>
      </c>
      <c r="M52" s="153">
        <f>K52*24</f>
        <v/>
      </c>
    </row>
    <row r="53" ht="15.6" customFormat="1" customHeight="1" s="196">
      <c r="A53" s="197" t="n">
        <v>51</v>
      </c>
      <c r="B53" s="201" t="n"/>
      <c r="C53" s="123" t="n"/>
      <c r="D53" s="202" t="n"/>
      <c r="E53" s="203" t="n"/>
      <c r="F53" s="204" t="n"/>
      <c r="G53" s="205" t="n"/>
      <c r="H53" s="121" t="n"/>
      <c r="I53" s="206" t="n"/>
      <c r="J53" s="204" t="n"/>
      <c r="K53" s="151">
        <f>J53-F53</f>
        <v/>
      </c>
      <c r="L53" s="152">
        <f>K53*24*60</f>
        <v/>
      </c>
      <c r="M53" s="153">
        <f>K53*24</f>
        <v/>
      </c>
    </row>
    <row r="54" ht="15.6" customFormat="1" customHeight="1" s="196">
      <c r="A54" s="197" t="n">
        <v>52</v>
      </c>
      <c r="B54" s="201" t="n"/>
      <c r="C54" s="123" t="n"/>
      <c r="D54" s="201" t="n"/>
      <c r="E54" s="201" t="n"/>
      <c r="F54" s="204" t="n"/>
      <c r="G54" s="201" t="n"/>
      <c r="H54" s="121" t="n"/>
      <c r="I54" s="201" t="n"/>
      <c r="J54" s="204" t="n"/>
      <c r="K54" s="151">
        <f>J54-F54</f>
        <v/>
      </c>
      <c r="L54" s="152">
        <f>K54*24*60</f>
        <v/>
      </c>
      <c r="M54" s="153">
        <f>K54*24</f>
        <v/>
      </c>
    </row>
    <row r="55" ht="15.6" customFormat="1" customHeight="1" s="196">
      <c r="A55" s="197" t="n">
        <v>53</v>
      </c>
      <c r="B55" s="201" t="n"/>
      <c r="C55" s="123" t="n"/>
      <c r="D55" s="207" t="n"/>
      <c r="E55" s="201" t="n"/>
      <c r="F55" s="204" t="n"/>
      <c r="G55" s="201" t="n"/>
      <c r="H55" s="121" t="n"/>
      <c r="I55" s="201" t="n"/>
      <c r="J55" s="204" t="n"/>
      <c r="K55" s="151">
        <f>J55-F55</f>
        <v/>
      </c>
      <c r="L55" s="152">
        <f>K55*24*60</f>
        <v/>
      </c>
      <c r="M55" s="153">
        <f>K55*24</f>
        <v/>
      </c>
    </row>
    <row r="56" ht="15.6" customFormat="1" customHeight="1" s="196">
      <c r="A56" s="197" t="n">
        <v>54</v>
      </c>
      <c r="B56" s="201" t="n"/>
      <c r="C56" s="123" t="n"/>
      <c r="D56" s="201" t="n"/>
      <c r="E56" s="201" t="n"/>
      <c r="F56" s="204" t="n"/>
      <c r="G56" s="201" t="n"/>
      <c r="H56" s="121" t="n"/>
      <c r="I56" s="201" t="n"/>
      <c r="J56" s="204" t="n"/>
      <c r="K56" s="151">
        <f>J56-F56</f>
        <v/>
      </c>
      <c r="L56" s="152">
        <f>K56*24*60</f>
        <v/>
      </c>
      <c r="M56" s="153">
        <f>K56*24</f>
        <v/>
      </c>
    </row>
    <row r="57" ht="15.6" customFormat="1" customHeight="1" s="196">
      <c r="A57" s="197" t="n">
        <v>55</v>
      </c>
      <c r="B57" s="201" t="n"/>
      <c r="C57" s="123" t="n"/>
      <c r="D57" s="201" t="n"/>
      <c r="E57" s="201" t="n"/>
      <c r="F57" s="204" t="n"/>
      <c r="G57" s="201" t="n"/>
      <c r="H57" s="121" t="n"/>
      <c r="I57" s="201" t="n"/>
      <c r="J57" s="204" t="n"/>
      <c r="K57" s="151">
        <f>J57-F57</f>
        <v/>
      </c>
      <c r="L57" s="152">
        <f>K57*24*60</f>
        <v/>
      </c>
      <c r="M57" s="153">
        <f>K57*24</f>
        <v/>
      </c>
    </row>
    <row r="58" ht="15.6" customFormat="1" customHeight="1" s="196">
      <c r="A58" s="197" t="n">
        <v>56</v>
      </c>
      <c r="B58" s="201" t="n"/>
      <c r="C58" s="123" t="n"/>
      <c r="D58" s="201" t="n"/>
      <c r="E58" s="201" t="n"/>
      <c r="F58" s="204" t="n"/>
      <c r="G58" s="201" t="n"/>
      <c r="H58" s="121" t="n"/>
      <c r="I58" s="201" t="n"/>
      <c r="J58" s="204" t="n"/>
      <c r="K58" s="151">
        <f>J58-F58</f>
        <v/>
      </c>
      <c r="L58" s="152">
        <f>K58*24*60</f>
        <v/>
      </c>
      <c r="M58" s="153">
        <f>K58*24</f>
        <v/>
      </c>
    </row>
    <row r="59" ht="15.6" customFormat="1" customHeight="1" s="196">
      <c r="A59" s="197" t="n">
        <v>57</v>
      </c>
      <c r="B59" s="201" t="n"/>
      <c r="C59" s="123" t="n"/>
      <c r="D59" s="201" t="n"/>
      <c r="E59" s="201" t="n"/>
      <c r="F59" s="204" t="n"/>
      <c r="G59" s="201" t="n"/>
      <c r="H59" s="121" t="n"/>
      <c r="I59" s="201" t="n"/>
      <c r="J59" s="204" t="n"/>
      <c r="K59" s="151">
        <f>J59-F59</f>
        <v/>
      </c>
      <c r="L59" s="152">
        <f>K59*24*60</f>
        <v/>
      </c>
      <c r="M59" s="153">
        <f>K59*24</f>
        <v/>
      </c>
    </row>
    <row r="60" ht="15.6" customFormat="1" customHeight="1" s="196">
      <c r="A60" s="197" t="n">
        <v>58</v>
      </c>
      <c r="B60" s="201" t="n"/>
      <c r="C60" s="123" t="n"/>
      <c r="D60" s="201" t="n"/>
      <c r="E60" s="201" t="n"/>
      <c r="F60" s="204" t="n"/>
      <c r="G60" s="201" t="n"/>
      <c r="H60" s="121" t="n"/>
      <c r="I60" s="201" t="n"/>
      <c r="J60" s="204" t="n"/>
      <c r="K60" s="151">
        <f>J60-F60</f>
        <v/>
      </c>
      <c r="L60" s="152">
        <f>K60*24*60</f>
        <v/>
      </c>
      <c r="M60" s="153">
        <f>K60*24</f>
        <v/>
      </c>
    </row>
    <row r="61" ht="15.6" customFormat="1" customHeight="1" s="196">
      <c r="A61" s="197" t="n">
        <v>59</v>
      </c>
      <c r="B61" s="201" t="n"/>
      <c r="C61" s="123" t="n"/>
      <c r="D61" s="201" t="n"/>
      <c r="E61" s="201" t="n"/>
      <c r="F61" s="204" t="n"/>
      <c r="G61" s="201" t="n"/>
      <c r="H61" s="121" t="n"/>
      <c r="I61" s="201" t="n"/>
      <c r="J61" s="204" t="n"/>
      <c r="K61" s="151">
        <f>J61-F61</f>
        <v/>
      </c>
      <c r="L61" s="152">
        <f>K61*24*60</f>
        <v/>
      </c>
      <c r="M61" s="153">
        <f>K61*24</f>
        <v/>
      </c>
    </row>
    <row r="62" ht="15.6" customFormat="1" customHeight="1" s="196">
      <c r="A62" s="197" t="n">
        <v>60</v>
      </c>
      <c r="B62" s="201" t="n"/>
      <c r="C62" s="123" t="n"/>
      <c r="D62" s="201" t="n"/>
      <c r="E62" s="201" t="n"/>
      <c r="F62" s="204" t="n"/>
      <c r="G62" s="201" t="n"/>
      <c r="H62" s="121" t="n"/>
      <c r="I62" s="201" t="n"/>
      <c r="J62" s="204" t="n"/>
      <c r="K62" s="151">
        <f>J62-F62</f>
        <v/>
      </c>
      <c r="L62" s="152">
        <f>K62*24*60</f>
        <v/>
      </c>
      <c r="M62" s="153">
        <f>K62*24</f>
        <v/>
      </c>
    </row>
    <row r="63" ht="15.6" customFormat="1" customHeight="1" s="196">
      <c r="A63" s="197" t="n">
        <v>61</v>
      </c>
      <c r="B63" s="201" t="n"/>
      <c r="C63" s="123" t="n"/>
      <c r="D63" s="201" t="n"/>
      <c r="E63" s="201" t="n"/>
      <c r="F63" s="204" t="n"/>
      <c r="G63" s="201" t="n"/>
      <c r="H63" s="121" t="n"/>
      <c r="I63" s="201" t="n"/>
      <c r="J63" s="204" t="n"/>
      <c r="K63" s="151">
        <f>J63-F63</f>
        <v/>
      </c>
      <c r="L63" s="152">
        <f>K63*24*60</f>
        <v/>
      </c>
      <c r="M63" s="153">
        <f>K63*24</f>
        <v/>
      </c>
    </row>
    <row r="64" ht="15.6" customFormat="1" customHeight="1" s="196">
      <c r="A64" s="197" t="n">
        <v>62</v>
      </c>
      <c r="B64" s="201" t="n"/>
      <c r="C64" s="123" t="n"/>
      <c r="D64" s="201" t="n"/>
      <c r="E64" s="201" t="n"/>
      <c r="F64" s="204" t="n"/>
      <c r="G64" s="201" t="n"/>
      <c r="H64" s="121" t="n"/>
      <c r="I64" s="201" t="n"/>
      <c r="J64" s="204" t="n"/>
      <c r="K64" s="151">
        <f>J64-F64</f>
        <v/>
      </c>
      <c r="L64" s="152">
        <f>K64*24*60</f>
        <v/>
      </c>
      <c r="M64" s="153">
        <f>K64*24</f>
        <v/>
      </c>
    </row>
    <row r="65" ht="15.6" customFormat="1" customHeight="1" s="196">
      <c r="A65" s="197" t="n">
        <v>63</v>
      </c>
      <c r="B65" s="201" t="n"/>
      <c r="C65" s="123" t="n"/>
      <c r="D65" s="201" t="n"/>
      <c r="E65" s="201" t="n"/>
      <c r="F65" s="204" t="n"/>
      <c r="G65" s="201" t="n"/>
      <c r="H65" s="121" t="n"/>
      <c r="I65" s="201" t="n"/>
      <c r="J65" s="204" t="n"/>
      <c r="K65" s="151">
        <f>J65-F65</f>
        <v/>
      </c>
      <c r="L65" s="152">
        <f>K65*24*60</f>
        <v/>
      </c>
      <c r="M65" s="153">
        <f>K65*24</f>
        <v/>
      </c>
    </row>
    <row r="66" ht="15.6" customFormat="1" customHeight="1" s="196">
      <c r="A66" s="197" t="n">
        <v>64</v>
      </c>
      <c r="B66" s="201" t="n"/>
      <c r="C66" s="123" t="n"/>
      <c r="D66" s="201" t="n"/>
      <c r="E66" s="201" t="n"/>
      <c r="F66" s="204" t="n"/>
      <c r="G66" s="201" t="n"/>
      <c r="H66" s="121" t="n"/>
      <c r="I66" s="201" t="n"/>
      <c r="J66" s="204" t="n"/>
      <c r="K66" s="151">
        <f>J66-F66</f>
        <v/>
      </c>
      <c r="L66" s="152">
        <f>K66*24*60</f>
        <v/>
      </c>
      <c r="M66" s="153">
        <f>K66*24</f>
        <v/>
      </c>
    </row>
    <row r="67" ht="15.6" customFormat="1" customHeight="1" s="196">
      <c r="A67" s="197" t="n">
        <v>65</v>
      </c>
      <c r="B67" s="201" t="n"/>
      <c r="C67" s="123" t="n"/>
      <c r="D67" s="201" t="n"/>
      <c r="E67" s="201" t="n"/>
      <c r="F67" s="204" t="n"/>
      <c r="G67" s="201" t="n"/>
      <c r="H67" s="121" t="n"/>
      <c r="I67" s="201" t="n"/>
      <c r="J67" s="204" t="n"/>
      <c r="K67" s="151">
        <f>J67-F67</f>
        <v/>
      </c>
      <c r="L67" s="152">
        <f>K67*24*60</f>
        <v/>
      </c>
      <c r="M67" s="153">
        <f>K67*24</f>
        <v/>
      </c>
    </row>
    <row r="68" ht="15.6" customFormat="1" customHeight="1" s="196">
      <c r="A68" s="197" t="n">
        <v>66</v>
      </c>
      <c r="B68" s="201" t="n"/>
      <c r="C68" s="123" t="n"/>
      <c r="D68" s="201" t="n"/>
      <c r="E68" s="201" t="n"/>
      <c r="F68" s="204" t="n"/>
      <c r="G68" s="201" t="n"/>
      <c r="H68" s="121" t="n"/>
      <c r="I68" s="201" t="n"/>
      <c r="J68" s="204" t="n"/>
      <c r="K68" s="151">
        <f>J68-F68</f>
        <v/>
      </c>
      <c r="L68" s="152">
        <f>K68*24*60</f>
        <v/>
      </c>
      <c r="M68" s="153">
        <f>K68*24</f>
        <v/>
      </c>
    </row>
    <row r="69" ht="15.6" customFormat="1" customHeight="1" s="196">
      <c r="A69" s="197" t="n">
        <v>67</v>
      </c>
      <c r="B69" s="201" t="n"/>
      <c r="C69" s="123" t="n"/>
      <c r="D69" s="201" t="n"/>
      <c r="E69" s="201" t="n"/>
      <c r="F69" s="204" t="n"/>
      <c r="G69" s="201" t="n"/>
      <c r="H69" s="121" t="n"/>
      <c r="I69" s="201" t="n"/>
      <c r="J69" s="204" t="n"/>
      <c r="K69" s="151">
        <f>J69-F69</f>
        <v/>
      </c>
      <c r="L69" s="152">
        <f>K69*24*60</f>
        <v/>
      </c>
      <c r="M69" s="153">
        <f>K69*24</f>
        <v/>
      </c>
    </row>
    <row r="70" ht="15.6" customFormat="1" customHeight="1" s="196">
      <c r="A70" s="197" t="n">
        <v>68</v>
      </c>
      <c r="B70" s="201" t="n"/>
      <c r="C70" s="123" t="n"/>
      <c r="D70" s="201" t="n"/>
      <c r="E70" s="201" t="n"/>
      <c r="F70" s="204" t="n"/>
      <c r="G70" s="201" t="n"/>
      <c r="H70" s="121" t="n"/>
      <c r="I70" s="201" t="n"/>
      <c r="J70" s="204" t="n"/>
      <c r="K70" s="151">
        <f>J70-F70</f>
        <v/>
      </c>
      <c r="L70" s="152">
        <f>K70*24*60</f>
        <v/>
      </c>
      <c r="M70" s="153">
        <f>K70*24</f>
        <v/>
      </c>
    </row>
    <row r="71" ht="15.6" customFormat="1" customHeight="1" s="196">
      <c r="A71" s="197" t="n">
        <v>69</v>
      </c>
      <c r="B71" s="201" t="n"/>
      <c r="C71" s="123" t="n"/>
      <c r="D71" s="201" t="n"/>
      <c r="E71" s="201" t="n"/>
      <c r="F71" s="204" t="n"/>
      <c r="G71" s="201" t="n"/>
      <c r="H71" s="121" t="n"/>
      <c r="I71" s="201" t="n"/>
      <c r="J71" s="204" t="n"/>
      <c r="K71" s="151">
        <f>J71-F71</f>
        <v/>
      </c>
      <c r="L71" s="152">
        <f>K71*24*60</f>
        <v/>
      </c>
      <c r="M71" s="153">
        <f>K71*24</f>
        <v/>
      </c>
    </row>
    <row r="72" ht="15.6" customFormat="1" customHeight="1" s="196">
      <c r="A72" s="197" t="n">
        <v>70</v>
      </c>
      <c r="B72" s="201" t="n"/>
      <c r="C72" s="123" t="n"/>
      <c r="D72" s="201" t="n"/>
      <c r="E72" s="201" t="n"/>
      <c r="F72" s="204" t="n"/>
      <c r="G72" s="201" t="n"/>
      <c r="H72" s="121" t="n"/>
      <c r="I72" s="201" t="n"/>
      <c r="J72" s="204" t="n"/>
      <c r="K72" s="151">
        <f>J72-F72</f>
        <v/>
      </c>
      <c r="L72" s="152">
        <f>K72*24*60</f>
        <v/>
      </c>
      <c r="M72" s="153">
        <f>K72*24</f>
        <v/>
      </c>
    </row>
    <row r="73" ht="15.6" customFormat="1" customHeight="1" s="196">
      <c r="A73" s="197" t="n">
        <v>71</v>
      </c>
      <c r="B73" s="201" t="n"/>
      <c r="C73" s="123" t="n"/>
      <c r="D73" s="201" t="n"/>
      <c r="E73" s="201" t="n"/>
      <c r="F73" s="204" t="n"/>
      <c r="G73" s="201" t="n"/>
      <c r="H73" s="121" t="n"/>
      <c r="I73" s="201" t="n"/>
      <c r="J73" s="204" t="n"/>
      <c r="K73" s="151">
        <f>J73-F73</f>
        <v/>
      </c>
      <c r="L73" s="152">
        <f>K73*24*60</f>
        <v/>
      </c>
      <c r="M73" s="153">
        <f>K73*24</f>
        <v/>
      </c>
    </row>
    <row r="74" ht="15.6" customFormat="1" customHeight="1" s="196">
      <c r="A74" s="197" t="n">
        <v>72</v>
      </c>
      <c r="B74" s="201" t="n"/>
      <c r="C74" s="123" t="n"/>
      <c r="D74" s="201" t="n"/>
      <c r="E74" s="201" t="n"/>
      <c r="F74" s="204" t="n"/>
      <c r="G74" s="201" t="n"/>
      <c r="H74" s="121" t="n"/>
      <c r="I74" s="201" t="n"/>
      <c r="J74" s="204" t="n"/>
      <c r="K74" s="151">
        <f>J74-F74</f>
        <v/>
      </c>
      <c r="L74" s="152">
        <f>K74*24*60</f>
        <v/>
      </c>
      <c r="M74" s="153">
        <f>K74*24</f>
        <v/>
      </c>
    </row>
    <row r="75" ht="15.6" customFormat="1" customHeight="1" s="196">
      <c r="A75" s="197" t="n">
        <v>73</v>
      </c>
      <c r="B75" s="201" t="n"/>
      <c r="C75" s="123" t="n"/>
      <c r="D75" s="201" t="n"/>
      <c r="E75" s="201" t="n"/>
      <c r="F75" s="204" t="n"/>
      <c r="G75" s="201" t="n"/>
      <c r="H75" s="121" t="n"/>
      <c r="I75" s="201" t="n"/>
      <c r="J75" s="204" t="n"/>
      <c r="K75" s="151">
        <f>J75-F75</f>
        <v/>
      </c>
      <c r="L75" s="152">
        <f>K75*24*60</f>
        <v/>
      </c>
      <c r="M75" s="153">
        <f>K75*24</f>
        <v/>
      </c>
    </row>
    <row r="76" ht="15.6" customFormat="1" customHeight="1" s="196">
      <c r="A76" s="197" t="n">
        <v>74</v>
      </c>
      <c r="B76" s="201" t="n"/>
      <c r="C76" s="123" t="n"/>
      <c r="D76" s="201" t="n"/>
      <c r="E76" s="201" t="n"/>
      <c r="F76" s="204" t="n"/>
      <c r="G76" s="201" t="n"/>
      <c r="H76" s="121" t="n"/>
      <c r="I76" s="201" t="n"/>
      <c r="J76" s="204" t="n"/>
      <c r="K76" s="151">
        <f>J76-F76</f>
        <v/>
      </c>
      <c r="L76" s="152">
        <f>K76*24*60</f>
        <v/>
      </c>
      <c r="M76" s="153">
        <f>K76*24</f>
        <v/>
      </c>
    </row>
    <row r="77" ht="15.6" customFormat="1" customHeight="1" s="196">
      <c r="A77" s="197" t="n">
        <v>75</v>
      </c>
      <c r="B77" s="201" t="n"/>
      <c r="C77" s="123" t="n"/>
      <c r="D77" s="201" t="n"/>
      <c r="E77" s="201" t="n"/>
      <c r="F77" s="204" t="n"/>
      <c r="G77" s="201" t="n"/>
      <c r="H77" s="121" t="n"/>
      <c r="I77" s="201" t="n"/>
      <c r="J77" s="204" t="n"/>
      <c r="K77" s="151">
        <f>J77-F77</f>
        <v/>
      </c>
      <c r="L77" s="152">
        <f>K77*24*60</f>
        <v/>
      </c>
      <c r="M77" s="153">
        <f>K77*24</f>
        <v/>
      </c>
    </row>
    <row r="78" ht="15.6" customFormat="1" customHeight="1" s="196">
      <c r="A78" s="197" t="n">
        <v>76</v>
      </c>
      <c r="B78" s="201" t="n"/>
      <c r="C78" s="123" t="n"/>
      <c r="D78" s="201" t="n"/>
      <c r="E78" s="201" t="n"/>
      <c r="F78" s="204" t="n"/>
      <c r="G78" s="201" t="n"/>
      <c r="H78" s="121" t="n"/>
      <c r="I78" s="201" t="n"/>
      <c r="J78" s="204" t="n"/>
      <c r="K78" s="151">
        <f>J78-F78</f>
        <v/>
      </c>
      <c r="L78" s="152">
        <f>K78*24*60</f>
        <v/>
      </c>
      <c r="M78" s="153">
        <f>K78*24</f>
        <v/>
      </c>
    </row>
    <row r="79" ht="15.6" customFormat="1" customHeight="1" s="196">
      <c r="A79" s="197" t="n">
        <v>77</v>
      </c>
      <c r="B79" s="201" t="n"/>
      <c r="C79" s="123" t="n"/>
      <c r="D79" s="201" t="n"/>
      <c r="E79" s="201" t="n"/>
      <c r="F79" s="204" t="n"/>
      <c r="G79" s="201" t="n"/>
      <c r="H79" s="121" t="n"/>
      <c r="I79" s="201" t="n"/>
      <c r="J79" s="204" t="n"/>
      <c r="K79" s="151">
        <f>J79-F79</f>
        <v/>
      </c>
      <c r="L79" s="152">
        <f>K79*24*60</f>
        <v/>
      </c>
      <c r="M79" s="153">
        <f>K79*24</f>
        <v/>
      </c>
    </row>
    <row r="80" ht="15.6" customFormat="1" customHeight="1" s="196">
      <c r="A80" s="197" t="n">
        <v>78</v>
      </c>
      <c r="B80" s="201" t="n"/>
      <c r="C80" s="123" t="n"/>
      <c r="D80" s="201" t="n"/>
      <c r="E80" s="201" t="n"/>
      <c r="F80" s="204" t="n"/>
      <c r="G80" s="201" t="n"/>
      <c r="H80" s="121" t="n"/>
      <c r="I80" s="201" t="n"/>
      <c r="J80" s="204" t="n"/>
      <c r="K80" s="151">
        <f>J80-F80</f>
        <v/>
      </c>
      <c r="L80" s="152">
        <f>K80*24*60</f>
        <v/>
      </c>
      <c r="M80" s="153">
        <f>K80*24</f>
        <v/>
      </c>
    </row>
    <row r="81" ht="15.6" customFormat="1" customHeight="1" s="196">
      <c r="A81" s="197" t="n">
        <v>79</v>
      </c>
      <c r="B81" s="201" t="n"/>
      <c r="C81" s="123" t="n"/>
      <c r="D81" s="201" t="n"/>
      <c r="E81" s="201" t="n"/>
      <c r="F81" s="204" t="n"/>
      <c r="G81" s="201" t="n"/>
      <c r="H81" s="121" t="n"/>
      <c r="I81" s="201" t="n"/>
      <c r="J81" s="204" t="n"/>
      <c r="K81" s="151">
        <f>J81-F81</f>
        <v/>
      </c>
      <c r="L81" s="152">
        <f>K81*24*60</f>
        <v/>
      </c>
      <c r="M81" s="153">
        <f>K81*24</f>
        <v/>
      </c>
    </row>
    <row r="82" ht="15.6" customFormat="1" customHeight="1" s="196">
      <c r="A82" s="197" t="n">
        <v>80</v>
      </c>
      <c r="B82" s="201" t="n"/>
      <c r="C82" s="123" t="n"/>
      <c r="D82" s="201" t="n"/>
      <c r="E82" s="201" t="n"/>
      <c r="F82" s="204" t="n"/>
      <c r="G82" s="201" t="n"/>
      <c r="H82" s="121" t="n"/>
      <c r="I82" s="201" t="n"/>
      <c r="J82" s="204" t="n"/>
      <c r="K82" s="151">
        <f>J82-F82</f>
        <v/>
      </c>
      <c r="L82" s="152">
        <f>K82*24*60</f>
        <v/>
      </c>
      <c r="M82" s="153">
        <f>K82*24</f>
        <v/>
      </c>
    </row>
    <row r="83" ht="15.6" customFormat="1" customHeight="1" s="196">
      <c r="A83" s="197" t="n">
        <v>81</v>
      </c>
      <c r="B83" s="201" t="n"/>
      <c r="C83" s="123" t="n"/>
      <c r="D83" s="201" t="n"/>
      <c r="E83" s="201" t="n"/>
      <c r="F83" s="204" t="n"/>
      <c r="G83" s="201" t="n"/>
      <c r="H83" s="121" t="n"/>
      <c r="I83" s="201" t="n"/>
      <c r="J83" s="204" t="n"/>
      <c r="K83" s="151">
        <f>J83-F83</f>
        <v/>
      </c>
      <c r="L83" s="152">
        <f>K83*24*60</f>
        <v/>
      </c>
      <c r="M83" s="153">
        <f>K83*24</f>
        <v/>
      </c>
    </row>
    <row r="84" ht="15.6" customFormat="1" customHeight="1" s="196">
      <c r="A84" s="197" t="n">
        <v>82</v>
      </c>
      <c r="B84" s="201" t="n"/>
      <c r="C84" s="123" t="n"/>
      <c r="D84" s="201" t="n"/>
      <c r="E84" s="201" t="n"/>
      <c r="F84" s="204" t="n"/>
      <c r="G84" s="201" t="n"/>
      <c r="H84" s="121" t="n"/>
      <c r="I84" s="201" t="n"/>
      <c r="J84" s="204" t="n"/>
      <c r="K84" s="151">
        <f>J84-F84</f>
        <v/>
      </c>
      <c r="L84" s="152">
        <f>K84*24*60</f>
        <v/>
      </c>
      <c r="M84" s="153">
        <f>K84*24</f>
        <v/>
      </c>
    </row>
    <row r="85" ht="15.6" customFormat="1" customHeight="1" s="196">
      <c r="A85" s="197" t="n">
        <v>83</v>
      </c>
      <c r="B85" s="201" t="n"/>
      <c r="C85" s="123" t="n"/>
      <c r="D85" s="201" t="n"/>
      <c r="E85" s="201" t="n"/>
      <c r="F85" s="204" t="n"/>
      <c r="G85" s="201" t="n"/>
      <c r="H85" s="121" t="n"/>
      <c r="I85" s="201" t="n"/>
      <c r="J85" s="204" t="n"/>
      <c r="K85" s="151">
        <f>J85-F85</f>
        <v/>
      </c>
      <c r="L85" s="152">
        <f>K85*24*60</f>
        <v/>
      </c>
      <c r="M85" s="153">
        <f>K85*24</f>
        <v/>
      </c>
    </row>
    <row r="86" ht="15.6" customFormat="1" customHeight="1" s="196">
      <c r="A86" s="197" t="n">
        <v>84</v>
      </c>
      <c r="B86" s="201" t="n"/>
      <c r="C86" s="123" t="n"/>
      <c r="D86" s="201" t="n"/>
      <c r="E86" s="201" t="n"/>
      <c r="F86" s="204" t="n"/>
      <c r="G86" s="201" t="n"/>
      <c r="H86" s="121" t="n"/>
      <c r="I86" s="201" t="n"/>
      <c r="J86" s="204" t="n"/>
      <c r="K86" s="151">
        <f>J86-F86</f>
        <v/>
      </c>
      <c r="L86" s="152">
        <f>K86*24*60</f>
        <v/>
      </c>
      <c r="M86" s="153">
        <f>K86*24</f>
        <v/>
      </c>
    </row>
    <row r="87" ht="15.6" customFormat="1" customHeight="1" s="196">
      <c r="A87" s="197" t="n">
        <v>85</v>
      </c>
      <c r="B87" s="201" t="n"/>
      <c r="C87" s="123" t="n"/>
      <c r="D87" s="201" t="n"/>
      <c r="E87" s="201" t="n"/>
      <c r="F87" s="201" t="n"/>
      <c r="G87" s="201" t="n"/>
      <c r="H87" s="121" t="n"/>
      <c r="I87" s="201" t="n"/>
      <c r="J87" s="204" t="n"/>
      <c r="K87" s="151">
        <f>J87-F87</f>
        <v/>
      </c>
      <c r="L87" s="152">
        <f>K87*24*60</f>
        <v/>
      </c>
      <c r="M87" s="153">
        <f>K87*24</f>
        <v/>
      </c>
    </row>
    <row r="88" ht="15.6" customFormat="1" customHeight="1" s="196">
      <c r="A88" s="197" t="n">
        <v>86</v>
      </c>
      <c r="B88" s="201" t="n"/>
      <c r="C88" s="123" t="n"/>
      <c r="D88" s="201" t="n"/>
      <c r="E88" s="201" t="n"/>
      <c r="F88" s="201" t="n"/>
      <c r="G88" s="201" t="n"/>
      <c r="H88" s="121" t="n"/>
      <c r="I88" s="201" t="n"/>
      <c r="J88" s="201" t="n"/>
      <c r="K88" s="151">
        <f>J88-F88</f>
        <v/>
      </c>
      <c r="L88" s="152">
        <f>K88*24*60</f>
        <v/>
      </c>
      <c r="M88" s="153">
        <f>K88*24</f>
        <v/>
      </c>
    </row>
    <row r="89" ht="15.6" customFormat="1" customHeight="1" s="196">
      <c r="A89" s="197" t="n">
        <v>87</v>
      </c>
      <c r="B89" s="201" t="n"/>
      <c r="C89" s="123" t="n"/>
      <c r="D89" s="201" t="n"/>
      <c r="E89" s="201" t="n"/>
      <c r="F89" s="201" t="n"/>
      <c r="G89" s="201" t="n"/>
      <c r="H89" s="121" t="n"/>
      <c r="I89" s="201" t="n"/>
      <c r="J89" s="201" t="n"/>
      <c r="K89" s="151">
        <f>J89-F89</f>
        <v/>
      </c>
      <c r="L89" s="152">
        <f>K89*24*60</f>
        <v/>
      </c>
      <c r="M89" s="153">
        <f>K89*24</f>
        <v/>
      </c>
    </row>
    <row r="90" ht="15.6" customFormat="1" customHeight="1" s="196">
      <c r="A90" s="197" t="n">
        <v>88</v>
      </c>
      <c r="B90" s="201" t="n"/>
      <c r="C90" s="123" t="n"/>
      <c r="D90" s="201" t="n"/>
      <c r="E90" s="201" t="n"/>
      <c r="F90" s="201" t="n"/>
      <c r="G90" s="201" t="n"/>
      <c r="H90" s="121" t="n"/>
      <c r="I90" s="201" t="n"/>
      <c r="J90" s="201" t="n"/>
      <c r="K90" s="151">
        <f>J90-F90</f>
        <v/>
      </c>
      <c r="L90" s="152">
        <f>K90*24*60</f>
        <v/>
      </c>
      <c r="M90" s="153">
        <f>K90*24</f>
        <v/>
      </c>
    </row>
    <row r="91" ht="15.6" customFormat="1" customHeight="1" s="196">
      <c r="A91" s="197" t="n">
        <v>89</v>
      </c>
      <c r="B91" s="201" t="n"/>
      <c r="C91" s="123" t="n"/>
      <c r="D91" s="201" t="n"/>
      <c r="E91" s="201" t="n"/>
      <c r="F91" s="201" t="n"/>
      <c r="G91" s="201" t="n"/>
      <c r="H91" s="121" t="n"/>
      <c r="I91" s="201" t="n"/>
      <c r="J91" s="201" t="n"/>
      <c r="K91" s="151">
        <f>J91-F91</f>
        <v/>
      </c>
      <c r="L91" s="152">
        <f>K91*24*60</f>
        <v/>
      </c>
      <c r="M91" s="153">
        <f>K91*24</f>
        <v/>
      </c>
    </row>
    <row r="92" ht="15.6" customFormat="1" customHeight="1" s="196">
      <c r="A92" s="197" t="n">
        <v>90</v>
      </c>
      <c r="B92" s="201" t="n"/>
      <c r="C92" s="123" t="n"/>
      <c r="D92" s="201" t="n"/>
      <c r="E92" s="201" t="n"/>
      <c r="F92" s="201" t="n"/>
      <c r="G92" s="201" t="n"/>
      <c r="H92" s="121" t="n"/>
      <c r="I92" s="201" t="n"/>
      <c r="J92" s="201" t="n"/>
      <c r="K92" s="151">
        <f>J92-F92</f>
        <v/>
      </c>
      <c r="L92" s="152">
        <f>K92*24*60</f>
        <v/>
      </c>
      <c r="M92" s="153">
        <f>K92*24</f>
        <v/>
      </c>
    </row>
    <row r="93" ht="15.6" customFormat="1" customHeight="1" s="196">
      <c r="A93" s="197" t="n">
        <v>91</v>
      </c>
      <c r="B93" s="201" t="n"/>
      <c r="C93" s="123" t="n"/>
      <c r="D93" s="201" t="n"/>
      <c r="E93" s="201" t="n"/>
      <c r="F93" s="201" t="n"/>
      <c r="G93" s="201" t="n"/>
      <c r="H93" s="121" t="n"/>
      <c r="I93" s="201" t="n"/>
      <c r="J93" s="201" t="n"/>
      <c r="K93" s="151">
        <f>J93-F93</f>
        <v/>
      </c>
      <c r="L93" s="152">
        <f>K93*24*60</f>
        <v/>
      </c>
      <c r="M93" s="153">
        <f>K93*24</f>
        <v/>
      </c>
    </row>
    <row r="94" ht="15.6" customFormat="1" customHeight="1" s="196">
      <c r="A94" s="197" t="n">
        <v>92</v>
      </c>
      <c r="B94" s="201" t="n"/>
      <c r="C94" s="123" t="n"/>
      <c r="D94" s="201" t="n"/>
      <c r="E94" s="201" t="n"/>
      <c r="F94" s="201" t="n"/>
      <c r="G94" s="201" t="n"/>
      <c r="H94" s="121" t="n"/>
      <c r="I94" s="201" t="n"/>
      <c r="J94" s="201" t="n"/>
      <c r="K94" s="151">
        <f>J94-F94</f>
        <v/>
      </c>
      <c r="L94" s="152">
        <f>K94*24*60</f>
        <v/>
      </c>
      <c r="M94" s="153">
        <f>K94*24</f>
        <v/>
      </c>
    </row>
    <row r="95" ht="15.6" customFormat="1" customHeight="1" s="196">
      <c r="A95" s="197" t="n">
        <v>93</v>
      </c>
      <c r="B95" s="201" t="n"/>
      <c r="C95" s="123" t="n"/>
      <c r="D95" s="201" t="n"/>
      <c r="E95" s="201" t="n"/>
      <c r="F95" s="201" t="n"/>
      <c r="G95" s="201" t="n"/>
      <c r="H95" s="121" t="n"/>
      <c r="I95" s="201" t="n"/>
      <c r="J95" s="201" t="n"/>
      <c r="K95" s="151">
        <f>J95-F95</f>
        <v/>
      </c>
      <c r="L95" s="152">
        <f>K95*24*60</f>
        <v/>
      </c>
      <c r="M95" s="153">
        <f>K95*24</f>
        <v/>
      </c>
    </row>
    <row r="96" ht="15.6" customFormat="1" customHeight="1" s="196">
      <c r="A96" s="197" t="n">
        <v>94</v>
      </c>
      <c r="B96" s="201" t="n"/>
      <c r="C96" s="123" t="n"/>
      <c r="D96" s="201" t="n"/>
      <c r="E96" s="201" t="n"/>
      <c r="F96" s="201" t="n"/>
      <c r="G96" s="201" t="n"/>
      <c r="H96" s="121" t="n"/>
      <c r="I96" s="201" t="n"/>
      <c r="J96" s="201" t="n"/>
      <c r="K96" s="151">
        <f>J96-F96</f>
        <v/>
      </c>
      <c r="L96" s="152">
        <f>K96*24*60</f>
        <v/>
      </c>
      <c r="M96" s="153">
        <f>K96*24</f>
        <v/>
      </c>
    </row>
    <row r="97" ht="15.6" customFormat="1" customHeight="1" s="196">
      <c r="A97" s="197" t="n">
        <v>95</v>
      </c>
      <c r="B97" s="201" t="n"/>
      <c r="C97" s="123" t="n"/>
      <c r="D97" s="201" t="n"/>
      <c r="E97" s="201" t="n"/>
      <c r="F97" s="201" t="n"/>
      <c r="G97" s="201" t="n"/>
      <c r="H97" s="121" t="n"/>
      <c r="I97" s="201" t="n"/>
      <c r="J97" s="201" t="n"/>
      <c r="K97" s="151">
        <f>J97-F97</f>
        <v/>
      </c>
      <c r="L97" s="152">
        <f>K97*24*60</f>
        <v/>
      </c>
      <c r="M97" s="153">
        <f>K97*24</f>
        <v/>
      </c>
    </row>
    <row r="98" ht="15.6" customFormat="1" customHeight="1" s="196">
      <c r="A98" s="197" t="n">
        <v>96</v>
      </c>
      <c r="B98" s="201" t="n"/>
      <c r="C98" s="123" t="n"/>
      <c r="D98" s="201" t="n"/>
      <c r="E98" s="201" t="n"/>
      <c r="F98" s="201" t="n"/>
      <c r="G98" s="201" t="n"/>
      <c r="H98" s="121" t="n"/>
      <c r="I98" s="201" t="n"/>
      <c r="J98" s="201" t="n"/>
      <c r="K98" s="151">
        <f>J98-F98</f>
        <v/>
      </c>
      <c r="L98" s="152">
        <f>K98*24*60</f>
        <v/>
      </c>
      <c r="M98" s="153">
        <f>K98*24</f>
        <v/>
      </c>
    </row>
    <row r="99" ht="15.6" customFormat="1" customHeight="1" s="196">
      <c r="A99" s="197" t="n">
        <v>97</v>
      </c>
      <c r="B99" s="201" t="n"/>
      <c r="C99" s="123" t="n"/>
      <c r="D99" s="201" t="n"/>
      <c r="E99" s="201" t="n"/>
      <c r="F99" s="201" t="n"/>
      <c r="G99" s="201" t="n"/>
      <c r="H99" s="121" t="n"/>
      <c r="I99" s="201" t="n"/>
      <c r="J99" s="201" t="n"/>
      <c r="K99" s="151">
        <f>J99-F99</f>
        <v/>
      </c>
      <c r="L99" s="152">
        <f>K99*24*60</f>
        <v/>
      </c>
      <c r="M99" s="153">
        <f>K99*24</f>
        <v/>
      </c>
    </row>
    <row r="100" ht="15.6" customFormat="1" customHeight="1" s="196">
      <c r="A100" s="197" t="n">
        <v>98</v>
      </c>
      <c r="B100" s="201" t="n"/>
      <c r="C100" s="123" t="n"/>
      <c r="D100" s="201" t="n"/>
      <c r="E100" s="201" t="n"/>
      <c r="F100" s="201" t="n"/>
      <c r="G100" s="201" t="n"/>
      <c r="H100" s="121" t="n"/>
      <c r="I100" s="201" t="n"/>
      <c r="J100" s="201" t="n"/>
      <c r="K100" s="151">
        <f>J100-F100</f>
        <v/>
      </c>
      <c r="L100" s="152">
        <f>K100*24*60</f>
        <v/>
      </c>
      <c r="M100" s="153">
        <f>K100*24</f>
        <v/>
      </c>
    </row>
    <row r="101" ht="15.6" customHeight="1">
      <c r="C101" s="123" t="n"/>
      <c r="H101" s="121" t="n"/>
    </row>
    <row r="102" ht="15.6" customHeight="1">
      <c r="C102" s="123" t="n"/>
      <c r="H102" s="121" t="n"/>
    </row>
    <row r="103" ht="15.6" customHeight="1">
      <c r="C103" s="123" t="n"/>
      <c r="H103" s="121" t="n"/>
    </row>
    <row r="104" ht="15.6" customHeight="1">
      <c r="C104" s="123" t="n"/>
      <c r="H104" s="121" t="n"/>
    </row>
    <row r="105" ht="15.6" customHeight="1">
      <c r="C105" s="123" t="n"/>
      <c r="H105" s="121" t="n"/>
    </row>
    <row r="106" ht="15.6" customHeight="1">
      <c r="C106" s="123" t="n"/>
      <c r="H106" s="121" t="n"/>
    </row>
    <row r="107" ht="15.6" customHeight="1">
      <c r="C107" s="123" t="n"/>
      <c r="H107" s="121" t="n"/>
    </row>
    <row r="108" ht="15.6" customHeight="1">
      <c r="C108" s="123" t="n"/>
      <c r="H108" s="121" t="n"/>
    </row>
    <row r="109" ht="15.6" customHeight="1">
      <c r="C109" s="123" t="n"/>
      <c r="H109" s="121" t="n"/>
    </row>
    <row r="110" ht="15.6" customHeight="1">
      <c r="C110" s="123" t="n"/>
      <c r="H110" s="121" t="n"/>
    </row>
    <row r="111" ht="15.6" customHeight="1">
      <c r="C111" s="123" t="n"/>
    </row>
    <row r="1046615">
      <c r="H1046615" s="100" t="n"/>
    </row>
  </sheetData>
  <mergeCells count="1">
    <mergeCell ref="A1:M1"/>
  </mergeCells>
  <dataValidations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O1047807"/>
  <sheetViews>
    <sheetView zoomScaleNormal="100" workbookViewId="0">
      <pane ySplit="2" topLeftCell="A3" activePane="bottomLeft" state="frozen"/>
      <selection pane="bottomLeft" activeCell="D21" sqref="D21"/>
    </sheetView>
  </sheetViews>
  <sheetFormatPr baseColWidth="8" defaultColWidth="0" defaultRowHeight="14.45"/>
  <cols>
    <col width="5.28515625" bestFit="1" customWidth="1" min="1" max="1"/>
    <col width="39.140625" customWidth="1" min="2" max="2"/>
    <col width="38.28515625" bestFit="1" customWidth="1" style="7" min="3" max="3"/>
    <col width="22.42578125" customWidth="1" min="4" max="4"/>
    <col width="17.140625" bestFit="1" customWidth="1" min="5" max="5"/>
    <col width="18.5703125" bestFit="1" customWidth="1" min="6" max="6"/>
    <col width="27.28515625" bestFit="1" customWidth="1" min="7" max="7"/>
    <col width="22.28515625" bestFit="1" customWidth="1" min="8" max="8"/>
    <col width="33.140625" bestFit="1" customWidth="1" style="213" min="9" max="9"/>
    <col width="26.140625" bestFit="1" customWidth="1" style="7" min="10" max="10"/>
    <col width="25.42578125" customWidth="1" min="11" max="11"/>
    <col width="19.7109375" bestFit="1" customWidth="1" min="12" max="12"/>
    <col width="17.85546875" bestFit="1" customWidth="1" min="13" max="13"/>
    <col width="13.28515625" bestFit="1" customWidth="1" min="14" max="14"/>
    <col width="15.42578125" bestFit="1" customWidth="1" min="15" max="15"/>
    <col width="4.7109375" customWidth="1" style="10" min="16" max="16"/>
    <col hidden="1" width="11.42578125" customWidth="1" style="10" min="17" max="19"/>
    <col hidden="1" style="10" min="20" max="21"/>
    <col hidden="1" width="11.42578125" customWidth="1" style="10" min="22" max="16384"/>
  </cols>
  <sheetData>
    <row r="1" ht="36" customFormat="1" customHeight="1" s="6" thickBot="1">
      <c r="A1" s="319" t="inlineStr">
        <is>
          <t>Planilla Control de Eventos Internet S@MI</t>
        </is>
      </c>
      <c r="B1" s="359" t="n"/>
      <c r="C1" s="359" t="n"/>
      <c r="D1" s="359" t="n"/>
      <c r="E1" s="359" t="n"/>
      <c r="F1" s="359" t="n"/>
      <c r="G1" s="359" t="n"/>
      <c r="H1" s="359" t="n"/>
      <c r="I1" s="359" t="n"/>
      <c r="J1" s="359" t="n"/>
      <c r="K1" s="359" t="n"/>
      <c r="L1" s="359" t="n"/>
      <c r="M1" s="359" t="n"/>
      <c r="N1" s="359" t="n"/>
      <c r="O1" s="359" t="n"/>
    </row>
    <row r="2" ht="42.75" customFormat="1" customHeight="1" s="6" thickTop="1">
      <c r="A2" s="214" t="inlineStr">
        <is>
          <t>Item</t>
        </is>
      </c>
      <c r="B2" s="120" t="inlineStr">
        <is>
          <t>Dispositivo</t>
        </is>
      </c>
      <c r="C2" s="120" t="inlineStr">
        <is>
          <t>Analista</t>
        </is>
      </c>
      <c r="D2" s="120" t="inlineStr">
        <is>
          <t>Numero de Ticket</t>
        </is>
      </c>
      <c r="E2" s="120" t="inlineStr">
        <is>
          <t>Acceso TIGO</t>
        </is>
      </c>
      <c r="F2" s="120" t="inlineStr">
        <is>
          <t>Numero Ticke TIGO UNE</t>
        </is>
      </c>
      <c r="G2" s="120" t="inlineStr">
        <is>
          <t>Descripcion del Evento</t>
        </is>
      </c>
      <c r="H2" s="120" t="inlineStr">
        <is>
          <t xml:space="preserve">Fecha/Hora Inicio Evento </t>
        </is>
      </c>
      <c r="I2" s="120" t="inlineStr">
        <is>
          <t>Causa</t>
        </is>
      </c>
      <c r="J2" s="120" t="inlineStr">
        <is>
          <t>Areas Involucradas</t>
        </is>
      </c>
      <c r="K2" s="120" t="inlineStr">
        <is>
          <t>Solucion</t>
        </is>
      </c>
      <c r="L2" s="120" t="inlineStr">
        <is>
          <t xml:space="preserve">Fecha/Hora Fin Evento </t>
        </is>
      </c>
      <c r="M2" s="120" t="inlineStr">
        <is>
          <t>Tiempo Total</t>
        </is>
      </c>
      <c r="N2" s="120" t="inlineStr">
        <is>
          <t>Tiempo Minutos</t>
        </is>
      </c>
      <c r="O2" s="120" t="inlineStr">
        <is>
          <t>Tiempo en Horas</t>
        </is>
      </c>
    </row>
    <row r="3" ht="13.5" customFormat="1" customHeight="1" s="62">
      <c r="A3" s="49" t="n">
        <v>1</v>
      </c>
      <c r="B3" s="55" t="n"/>
      <c r="C3" s="123" t="n"/>
      <c r="D3" s="190" t="n"/>
      <c r="E3" s="96" t="n"/>
      <c r="F3" s="112" t="n"/>
      <c r="G3" s="54" t="n"/>
      <c r="H3" s="125" t="n"/>
      <c r="I3" s="64" t="n"/>
      <c r="J3" s="121" t="n"/>
      <c r="K3" s="64" t="n"/>
      <c r="L3" s="104" t="n"/>
      <c r="M3" s="109">
        <f>L3-H3</f>
        <v/>
      </c>
      <c r="N3" s="110">
        <f>M3*24*60</f>
        <v/>
      </c>
      <c r="O3" s="110">
        <f>M3*24</f>
        <v/>
      </c>
    </row>
    <row r="4" ht="13.5" customFormat="1" customHeight="1" s="62">
      <c r="A4" s="49" t="n">
        <v>2</v>
      </c>
      <c r="B4" s="122" t="n"/>
      <c r="C4" s="123" t="n"/>
      <c r="D4" s="190" t="n"/>
      <c r="E4" s="96" t="n"/>
      <c r="F4" s="96" t="n"/>
      <c r="G4" s="54" t="n"/>
      <c r="H4" s="125" t="n"/>
      <c r="I4" s="55" t="n"/>
      <c r="J4" s="121" t="n"/>
      <c r="K4" s="55" t="n"/>
      <c r="L4" s="104" t="n"/>
      <c r="M4" s="109">
        <f>L4-H4</f>
        <v/>
      </c>
      <c r="N4" s="110">
        <f>M4*24*60</f>
        <v/>
      </c>
      <c r="O4" s="110">
        <f>M4*24</f>
        <v/>
      </c>
    </row>
    <row r="5" ht="13.5" customFormat="1" customHeight="1" s="62">
      <c r="A5" s="49" t="n">
        <v>3</v>
      </c>
      <c r="B5" s="2" t="n"/>
      <c r="C5" s="123" t="n"/>
      <c r="D5" s="18" t="n"/>
      <c r="E5" s="96" t="n"/>
      <c r="F5" s="96" t="n"/>
      <c r="G5" s="54" t="n"/>
      <c r="H5" s="125" t="n"/>
      <c r="I5" s="54" t="n"/>
      <c r="J5" s="121" t="n"/>
      <c r="K5" s="150" t="n"/>
      <c r="L5" s="59" t="n"/>
      <c r="M5" s="109">
        <f>L5-H5</f>
        <v/>
      </c>
      <c r="N5" s="110">
        <f>M5*24*60</f>
        <v/>
      </c>
      <c r="O5" s="110">
        <f>M5*24</f>
        <v/>
      </c>
    </row>
    <row r="6" ht="15.6" customFormat="1" customHeight="1" s="61">
      <c r="A6" s="49" t="n">
        <v>4</v>
      </c>
      <c r="B6" s="2" t="n"/>
      <c r="C6" s="123" t="n"/>
      <c r="D6" s="18" t="n"/>
      <c r="E6" s="52" t="n"/>
      <c r="F6" s="52" t="n"/>
      <c r="G6" s="54" t="n"/>
      <c r="H6" s="125" t="n"/>
      <c r="I6" s="54" t="n"/>
      <c r="J6" s="121" t="n"/>
      <c r="K6" s="150" t="n"/>
      <c r="L6" s="59" t="n"/>
      <c r="M6" s="109">
        <f>L6-H6</f>
        <v/>
      </c>
      <c r="N6" s="110">
        <f>M6*24*60</f>
        <v/>
      </c>
      <c r="O6" s="110">
        <f>M6*24</f>
        <v/>
      </c>
    </row>
    <row r="7" ht="15.6" customFormat="1" customHeight="1" s="61">
      <c r="A7" s="49" t="n">
        <v>5</v>
      </c>
      <c r="B7" s="2" t="n"/>
      <c r="C7" s="123" t="n"/>
      <c r="D7" s="18" t="n"/>
      <c r="E7" s="52" t="n"/>
      <c r="F7" s="52" t="n"/>
      <c r="G7" s="54" t="n"/>
      <c r="H7" s="125" t="n"/>
      <c r="I7" s="54" t="n"/>
      <c r="J7" s="121" t="n"/>
      <c r="K7" s="150" t="n"/>
      <c r="L7" s="59" t="n"/>
      <c r="M7" s="109">
        <f>L7-H7</f>
        <v/>
      </c>
      <c r="N7" s="110">
        <f>M7*24*60</f>
        <v/>
      </c>
      <c r="O7" s="110">
        <f>M7*24</f>
        <v/>
      </c>
    </row>
    <row r="8" ht="15.6" customFormat="1" customHeight="1" s="61">
      <c r="A8" s="49" t="n">
        <v>6</v>
      </c>
      <c r="B8" s="54" t="n"/>
      <c r="C8" s="123" t="n"/>
      <c r="D8" s="18" t="n"/>
      <c r="E8" s="52" t="n"/>
      <c r="F8" s="52" t="n"/>
      <c r="G8" s="54" t="n"/>
      <c r="H8" s="125" t="n"/>
      <c r="I8" s="64" t="n"/>
      <c r="J8" s="121" t="n"/>
      <c r="L8" s="59" t="n"/>
      <c r="M8" s="109">
        <f>L8-H8</f>
        <v/>
      </c>
      <c r="N8" s="110">
        <f>M8*24*60</f>
        <v/>
      </c>
      <c r="O8" s="110">
        <f>M8*24</f>
        <v/>
      </c>
    </row>
    <row r="9" ht="15.6" customFormat="1" customHeight="1" s="61">
      <c r="A9" s="49" t="n">
        <v>7</v>
      </c>
      <c r="B9" s="54" t="n"/>
      <c r="C9" s="123" t="n"/>
      <c r="D9" s="52" t="n"/>
      <c r="E9" s="52" t="n"/>
      <c r="F9" s="52" t="n"/>
      <c r="G9" s="54" t="n"/>
      <c r="H9" s="56" t="n"/>
      <c r="I9" s="64" t="n"/>
      <c r="J9" s="121" t="n"/>
      <c r="K9" s="64" t="n"/>
      <c r="L9" s="59" t="n"/>
      <c r="M9" s="109">
        <f>L9-H9</f>
        <v/>
      </c>
      <c r="N9" s="110">
        <f>M9*24*60</f>
        <v/>
      </c>
      <c r="O9" s="110">
        <f>M9*24</f>
        <v/>
      </c>
    </row>
    <row r="10" ht="15.6" customFormat="1" customHeight="1" s="61">
      <c r="A10" s="49" t="n">
        <v>8</v>
      </c>
      <c r="B10" s="55" t="n"/>
      <c r="C10" s="123" t="n"/>
      <c r="D10" s="52" t="n"/>
      <c r="E10" s="52" t="n"/>
      <c r="F10" s="52" t="n"/>
      <c r="G10" s="54" t="n"/>
      <c r="H10" s="56" t="n"/>
      <c r="I10" s="64" t="n"/>
      <c r="J10" s="121" t="n"/>
      <c r="K10" s="64" t="n"/>
      <c r="L10" s="59" t="n"/>
      <c r="M10" s="109">
        <f>L10-H10</f>
        <v/>
      </c>
      <c r="N10" s="110">
        <f>M10*24*60</f>
        <v/>
      </c>
      <c r="O10" s="110">
        <f>M10*24</f>
        <v/>
      </c>
    </row>
    <row r="11" ht="15.6" customFormat="1" customHeight="1" s="61">
      <c r="A11" s="49" t="n">
        <v>9</v>
      </c>
      <c r="B11" s="55" t="n"/>
      <c r="C11" s="123" t="n"/>
      <c r="D11" s="52" t="n"/>
      <c r="E11" s="52" t="n"/>
      <c r="F11" s="52" t="n"/>
      <c r="G11" s="54" t="n"/>
      <c r="H11" s="56" t="n"/>
      <c r="I11" s="64" t="n"/>
      <c r="J11" s="121" t="n"/>
      <c r="K11" s="64" t="n"/>
      <c r="L11" s="59" t="n"/>
      <c r="M11" s="109">
        <f>L11-H11</f>
        <v/>
      </c>
      <c r="N11" s="110">
        <f>M11*24*60</f>
        <v/>
      </c>
      <c r="O11" s="110">
        <f>M11*24</f>
        <v/>
      </c>
    </row>
    <row r="12" ht="15.6" customFormat="1" customHeight="1" s="61">
      <c r="A12" s="49" t="n">
        <v>10</v>
      </c>
      <c r="B12" s="55" t="n"/>
      <c r="C12" s="123" t="n"/>
      <c r="D12" s="52" t="n"/>
      <c r="E12" s="52" t="n"/>
      <c r="F12" s="52" t="n"/>
      <c r="G12" s="54" t="n"/>
      <c r="H12" s="56" t="n"/>
      <c r="I12" s="64" t="n"/>
      <c r="J12" s="121" t="n"/>
      <c r="K12" s="64" t="n"/>
      <c r="L12" s="59" t="n"/>
      <c r="M12" s="109">
        <f>L12-H12</f>
        <v/>
      </c>
      <c r="N12" s="110">
        <f>M12*24*60</f>
        <v/>
      </c>
      <c r="O12" s="110">
        <f>M12*24</f>
        <v/>
      </c>
    </row>
    <row r="13" ht="15.6" customFormat="1" customHeight="1" s="61">
      <c r="A13" s="49" t="n">
        <v>11</v>
      </c>
      <c r="B13" s="55" t="n"/>
      <c r="C13" s="123" t="n"/>
      <c r="D13" s="52" t="n"/>
      <c r="E13" s="52" t="n"/>
      <c r="F13" s="52" t="n"/>
      <c r="G13" s="54" t="n"/>
      <c r="H13" s="56" t="n"/>
      <c r="I13" s="64" t="n"/>
      <c r="J13" s="121" t="n"/>
      <c r="K13" s="64" t="n"/>
      <c r="L13" s="59" t="n"/>
      <c r="M13" s="109">
        <f>L13-H13</f>
        <v/>
      </c>
      <c r="N13" s="110">
        <f>M13*24*60</f>
        <v/>
      </c>
      <c r="O13" s="110">
        <f>M13*24</f>
        <v/>
      </c>
    </row>
    <row r="14" ht="15.6" customFormat="1" customHeight="1" s="61">
      <c r="A14" s="49" t="n">
        <v>12</v>
      </c>
      <c r="B14" s="55" t="n"/>
      <c r="C14" s="123" t="n"/>
      <c r="D14" s="52" t="n"/>
      <c r="E14" s="52" t="n"/>
      <c r="F14" s="52" t="n"/>
      <c r="G14" s="54" t="n"/>
      <c r="H14" s="56" t="n"/>
      <c r="I14" s="64" t="n"/>
      <c r="J14" s="121" t="n"/>
      <c r="K14" s="64" t="n"/>
      <c r="L14" s="59" t="n"/>
      <c r="M14" s="109">
        <f>L14-H14</f>
        <v/>
      </c>
      <c r="N14" s="110">
        <f>M14*24*60</f>
        <v/>
      </c>
      <c r="O14" s="110">
        <f>M14*24</f>
        <v/>
      </c>
    </row>
    <row r="15" ht="15.6" customFormat="1" customHeight="1" s="61">
      <c r="A15" s="49" t="n">
        <v>13</v>
      </c>
      <c r="B15" s="55" t="n"/>
      <c r="C15" s="123" t="n"/>
      <c r="D15" s="52" t="n"/>
      <c r="E15" s="52" t="n"/>
      <c r="F15" s="52" t="n"/>
      <c r="G15" s="54" t="n"/>
      <c r="H15" s="56" t="n"/>
      <c r="J15" s="121" t="n"/>
      <c r="K15" s="64" t="n"/>
      <c r="L15" s="59" t="n"/>
      <c r="M15" s="109">
        <f>L15-H15</f>
        <v/>
      </c>
      <c r="N15" s="110">
        <f>M15*24*60</f>
        <v/>
      </c>
      <c r="O15" s="110">
        <f>M15*24</f>
        <v/>
      </c>
    </row>
    <row r="16" ht="15.6" customFormat="1" customHeight="1" s="61">
      <c r="A16" s="49" t="n">
        <v>14</v>
      </c>
      <c r="B16" s="55" t="n"/>
      <c r="C16" s="123" t="n"/>
      <c r="D16" s="52" t="n"/>
      <c r="E16" s="52" t="n"/>
      <c r="F16" s="52" t="n"/>
      <c r="G16" s="54" t="n"/>
      <c r="H16" s="56" t="n"/>
      <c r="I16" s="64" t="n"/>
      <c r="J16" s="121" t="n"/>
      <c r="K16" s="64" t="n"/>
      <c r="L16" s="59" t="n"/>
      <c r="M16" s="109">
        <f>L16-H16</f>
        <v/>
      </c>
      <c r="N16" s="110">
        <f>M16*24*60</f>
        <v/>
      </c>
      <c r="O16" s="110">
        <f>M16*24</f>
        <v/>
      </c>
    </row>
    <row r="17" ht="15.6" customFormat="1" customHeight="1" s="61">
      <c r="A17" s="49" t="n">
        <v>15</v>
      </c>
      <c r="B17" s="55" t="n"/>
      <c r="C17" s="123" t="n"/>
      <c r="D17" s="53" t="n"/>
      <c r="E17" s="53" t="n"/>
      <c r="F17" s="53" t="n"/>
      <c r="G17" s="54" t="n"/>
      <c r="H17" s="56" t="n"/>
      <c r="I17" s="57" t="n"/>
      <c r="J17" s="121" t="n"/>
      <c r="L17" s="59" t="n"/>
      <c r="M17" s="109">
        <f>L17-H17</f>
        <v/>
      </c>
      <c r="N17" s="110">
        <f>M17*24*60</f>
        <v/>
      </c>
      <c r="O17" s="110">
        <f>M17*24</f>
        <v/>
      </c>
    </row>
    <row r="18" ht="15.6" customFormat="1" customHeight="1" s="61">
      <c r="A18" s="49" t="n">
        <v>16</v>
      </c>
      <c r="B18" s="54" t="n"/>
      <c r="C18" s="123" t="n"/>
      <c r="D18" s="52" t="n"/>
      <c r="E18" s="52" t="n"/>
      <c r="F18" s="52" t="n"/>
      <c r="G18" s="55" t="n"/>
      <c r="H18" s="56" t="n"/>
      <c r="I18" s="64" t="n"/>
      <c r="J18" s="121" t="n"/>
      <c r="K18" s="64" t="n"/>
      <c r="L18" s="59" t="n"/>
      <c r="M18" s="109">
        <f>L18-H18</f>
        <v/>
      </c>
      <c r="N18" s="110">
        <f>M18*24*60</f>
        <v/>
      </c>
      <c r="O18" s="110">
        <f>M18*24</f>
        <v/>
      </c>
    </row>
    <row r="19" ht="14.25" customFormat="1" customHeight="1" s="61">
      <c r="A19" s="49" t="n">
        <v>17</v>
      </c>
      <c r="B19" s="54" t="n"/>
      <c r="C19" s="123" t="n"/>
      <c r="D19" s="52" t="n"/>
      <c r="E19" s="52" t="n"/>
      <c r="F19" s="52" t="n"/>
      <c r="G19" s="54" t="n"/>
      <c r="H19" s="56" t="n"/>
      <c r="I19" s="64" t="n"/>
      <c r="J19" s="121" t="n"/>
      <c r="K19" s="64" t="n"/>
      <c r="L19" s="59" t="n"/>
      <c r="M19" s="109">
        <f>L19-H19</f>
        <v/>
      </c>
      <c r="N19" s="110">
        <f>M19*24*60</f>
        <v/>
      </c>
      <c r="O19" s="110">
        <f>M19*24</f>
        <v/>
      </c>
    </row>
    <row r="20" ht="14.25" customFormat="1" customHeight="1" s="62">
      <c r="A20" s="49" t="n">
        <v>18</v>
      </c>
      <c r="B20" s="54" t="n"/>
      <c r="C20" s="123" t="n"/>
      <c r="D20" s="52" t="n"/>
      <c r="E20" s="52" t="n"/>
      <c r="F20" s="52" t="n"/>
      <c r="G20" s="54" t="n"/>
      <c r="H20" s="56" t="n"/>
      <c r="I20" s="64" t="n"/>
      <c r="J20" s="121" t="n"/>
      <c r="K20" s="209" t="n"/>
      <c r="L20" s="59" t="n"/>
      <c r="M20" s="109">
        <f>L20-H20</f>
        <v/>
      </c>
      <c r="N20" s="110">
        <f>M20*24*60</f>
        <v/>
      </c>
      <c r="O20" s="110">
        <f>M20*24</f>
        <v/>
      </c>
    </row>
    <row r="21" ht="15" customFormat="1" customHeight="1" s="60">
      <c r="A21" s="49" t="n">
        <v>19</v>
      </c>
      <c r="B21" s="54" t="n"/>
      <c r="C21" s="123" t="n"/>
      <c r="D21" s="52" t="n"/>
      <c r="E21" s="52" t="n"/>
      <c r="F21" s="52" t="n"/>
      <c r="G21" s="54" t="n"/>
      <c r="H21" s="63" t="n"/>
      <c r="I21" s="64" t="n"/>
      <c r="J21" s="121" t="n"/>
      <c r="K21" s="57" t="n"/>
      <c r="L21" s="59" t="n"/>
      <c r="M21" s="109">
        <f>L21-H21</f>
        <v/>
      </c>
      <c r="N21" s="110">
        <f>M21*24*60</f>
        <v/>
      </c>
      <c r="O21" s="110">
        <f>M21*24</f>
        <v/>
      </c>
    </row>
    <row r="22" ht="15.6" customFormat="1" customHeight="1" s="61">
      <c r="A22" s="49" t="n">
        <v>20</v>
      </c>
      <c r="B22" s="65" t="n"/>
      <c r="C22" s="123" t="n"/>
      <c r="D22" s="53" t="n"/>
      <c r="E22" s="53" t="n"/>
      <c r="F22" s="53" t="n"/>
      <c r="G22" s="54" t="n"/>
      <c r="H22" s="56" t="n"/>
      <c r="I22" s="64" t="n"/>
      <c r="J22" s="121" t="n"/>
      <c r="K22" s="57" t="n"/>
      <c r="L22" s="59" t="n"/>
      <c r="M22" s="109">
        <f>L22-H22</f>
        <v/>
      </c>
      <c r="N22" s="110">
        <f>M22*24*60</f>
        <v/>
      </c>
      <c r="O22" s="110">
        <f>M22*24</f>
        <v/>
      </c>
    </row>
    <row r="23" ht="15.6" customFormat="1" customHeight="1" s="60">
      <c r="A23" s="49" t="n">
        <v>21</v>
      </c>
      <c r="B23" s="54" t="n"/>
      <c r="C23" s="123" t="n"/>
      <c r="D23" s="52" t="n"/>
      <c r="E23" s="52" t="n"/>
      <c r="F23" s="52" t="n"/>
      <c r="G23" s="54" t="n"/>
      <c r="H23" s="63" t="n"/>
      <c r="I23" s="64" t="n"/>
      <c r="J23" s="121" t="n"/>
      <c r="K23" s="64" t="n"/>
      <c r="L23" s="66" t="n"/>
      <c r="M23" s="109">
        <f>L23-H23</f>
        <v/>
      </c>
      <c r="N23" s="110">
        <f>M23*24*60</f>
        <v/>
      </c>
      <c r="O23" s="110">
        <f>M23*24</f>
        <v/>
      </c>
    </row>
    <row r="24" ht="15.6" customFormat="1" customHeight="1" s="60">
      <c r="A24" s="49" t="n">
        <v>22</v>
      </c>
      <c r="B24" s="54" t="n"/>
      <c r="C24" s="123" t="n"/>
      <c r="D24" s="52" t="n"/>
      <c r="E24" s="52" t="n"/>
      <c r="F24" s="52" t="n"/>
      <c r="G24" s="54" t="n"/>
      <c r="H24" s="63" t="n"/>
      <c r="I24" s="64" t="n"/>
      <c r="J24" s="121" t="n"/>
      <c r="K24" s="64" t="n"/>
      <c r="L24" s="66" t="n"/>
      <c r="M24" s="109">
        <f>L24-H24</f>
        <v/>
      </c>
      <c r="N24" s="110">
        <f>M24*24*60</f>
        <v/>
      </c>
      <c r="O24" s="110">
        <f>M24*24</f>
        <v/>
      </c>
    </row>
    <row r="25" ht="15.6" customFormat="1" customHeight="1" s="60">
      <c r="A25" s="49" t="n">
        <v>23</v>
      </c>
      <c r="B25" s="58" t="n"/>
      <c r="C25" s="123" t="n"/>
      <c r="D25" s="53" t="n"/>
      <c r="E25" s="53" t="n"/>
      <c r="F25" s="53" t="n"/>
      <c r="G25" s="54" t="n"/>
      <c r="H25" s="56" t="n"/>
      <c r="I25" s="64" t="n"/>
      <c r="J25" s="121" t="n"/>
      <c r="K25" s="64" t="n"/>
      <c r="L25" s="66" t="n"/>
      <c r="M25" s="109">
        <f>L25-H25</f>
        <v/>
      </c>
      <c r="N25" s="110">
        <f>M25*24*60</f>
        <v/>
      </c>
      <c r="O25" s="110">
        <f>M25*24</f>
        <v/>
      </c>
    </row>
    <row r="26" ht="15.6" customFormat="1" customHeight="1" s="60">
      <c r="A26" s="49" t="n">
        <v>24</v>
      </c>
      <c r="B26" s="58" t="n"/>
      <c r="C26" s="123" t="n"/>
      <c r="D26" s="52" t="n"/>
      <c r="E26" s="52" t="n"/>
      <c r="F26" s="52" t="n"/>
      <c r="G26" s="54" t="n"/>
      <c r="H26" s="56" t="n"/>
      <c r="I26" s="57" t="n"/>
      <c r="J26" s="121" t="n"/>
      <c r="K26" s="57" t="n"/>
      <c r="L26" s="59" t="n"/>
      <c r="M26" s="109">
        <f>L26-H26</f>
        <v/>
      </c>
      <c r="N26" s="110">
        <f>M26*24*60</f>
        <v/>
      </c>
      <c r="O26" s="110">
        <f>M26*24</f>
        <v/>
      </c>
    </row>
    <row r="27" ht="15.6" customFormat="1" customHeight="1" s="60">
      <c r="A27" s="49" t="n">
        <v>25</v>
      </c>
      <c r="B27" s="58" t="n"/>
      <c r="C27" s="123" t="n"/>
      <c r="D27" s="53" t="n"/>
      <c r="E27" s="53" t="n"/>
      <c r="F27" s="53" t="n"/>
      <c r="G27" s="54" t="n"/>
      <c r="H27" s="56" t="n"/>
      <c r="I27" s="57" t="n"/>
      <c r="J27" s="121" t="n"/>
      <c r="K27" s="57" t="n"/>
      <c r="L27" s="59" t="n"/>
      <c r="M27" s="109">
        <f>L27-H27</f>
        <v/>
      </c>
      <c r="N27" s="110">
        <f>M27*24*60</f>
        <v/>
      </c>
      <c r="O27" s="110">
        <f>M27*24</f>
        <v/>
      </c>
    </row>
    <row r="28" ht="15.6" customFormat="1" customHeight="1" s="60">
      <c r="A28" s="49" t="n">
        <v>26</v>
      </c>
      <c r="B28" s="58" t="n"/>
      <c r="C28" s="123" t="n"/>
      <c r="D28" s="53" t="n"/>
      <c r="E28" s="53" t="n"/>
      <c r="F28" s="53" t="n"/>
      <c r="G28" s="54" t="n"/>
      <c r="H28" s="56" t="n"/>
      <c r="I28" s="57" t="n"/>
      <c r="J28" s="121" t="n"/>
      <c r="K28" s="57" t="n"/>
      <c r="L28" s="59" t="n"/>
      <c r="M28" s="109">
        <f>L28-H28</f>
        <v/>
      </c>
      <c r="N28" s="110">
        <f>M28*24*60</f>
        <v/>
      </c>
      <c r="O28" s="110">
        <f>M28*24</f>
        <v/>
      </c>
    </row>
    <row r="29" ht="15.6" customFormat="1" customHeight="1" s="60">
      <c r="A29" s="49" t="n">
        <v>27</v>
      </c>
      <c r="B29" s="58" t="n"/>
      <c r="C29" s="123" t="n"/>
      <c r="D29" s="53" t="n"/>
      <c r="E29" s="53" t="n"/>
      <c r="F29" s="53" t="n"/>
      <c r="G29" s="54" t="n"/>
      <c r="H29" s="56" t="n"/>
      <c r="I29" s="57" t="n"/>
      <c r="J29" s="121" t="n"/>
      <c r="K29" s="57" t="n"/>
      <c r="L29" s="59" t="n"/>
      <c r="M29" s="109">
        <f>L29-H29</f>
        <v/>
      </c>
      <c r="N29" s="110">
        <f>M29*24*60</f>
        <v/>
      </c>
      <c r="O29" s="110">
        <f>M29*24</f>
        <v/>
      </c>
    </row>
    <row r="30" ht="15.6" customFormat="1" customHeight="1" s="60">
      <c r="A30" s="49" t="n">
        <v>28</v>
      </c>
      <c r="B30" s="58" t="n"/>
      <c r="C30" s="123" t="n"/>
      <c r="D30" s="53" t="n"/>
      <c r="E30" s="53" t="n"/>
      <c r="F30" s="53" t="n"/>
      <c r="G30" s="54" t="n"/>
      <c r="H30" s="56" t="n"/>
      <c r="I30" s="57" t="n"/>
      <c r="J30" s="121" t="n"/>
      <c r="K30" s="57" t="n"/>
      <c r="L30" s="59" t="n"/>
      <c r="M30" s="109">
        <f>L30-H30</f>
        <v/>
      </c>
      <c r="N30" s="110">
        <f>M30*24*60</f>
        <v/>
      </c>
      <c r="O30" s="110">
        <f>M30*24</f>
        <v/>
      </c>
    </row>
    <row r="31" ht="15.6" customFormat="1" customHeight="1" s="60">
      <c r="A31" s="49" t="n">
        <v>29</v>
      </c>
      <c r="B31" s="54" t="n"/>
      <c r="C31" s="123" t="n"/>
      <c r="D31" s="52" t="n"/>
      <c r="E31" s="52" t="n"/>
      <c r="F31" s="52" t="n"/>
      <c r="G31" s="54" t="n"/>
      <c r="H31" s="56" t="n"/>
      <c r="I31" s="57" t="n"/>
      <c r="J31" s="121" t="n"/>
      <c r="K31" s="57" t="n"/>
      <c r="L31" s="59" t="n"/>
      <c r="M31" s="109">
        <f>L31-H31</f>
        <v/>
      </c>
      <c r="N31" s="110">
        <f>M31*24*60</f>
        <v/>
      </c>
      <c r="O31" s="110">
        <f>M31*24</f>
        <v/>
      </c>
    </row>
    <row r="32" ht="15.6" customFormat="1" customHeight="1" s="60">
      <c r="A32" s="49" t="n">
        <v>30</v>
      </c>
      <c r="B32" s="54" t="n"/>
      <c r="C32" s="123" t="n"/>
      <c r="D32" s="52" t="n"/>
      <c r="E32" s="52" t="n"/>
      <c r="F32" s="52" t="n"/>
      <c r="G32" s="54" t="n"/>
      <c r="H32" s="56" t="n"/>
      <c r="I32" s="57" t="n"/>
      <c r="J32" s="121" t="n"/>
      <c r="K32" s="57" t="n"/>
      <c r="L32" s="59" t="n"/>
      <c r="M32" s="109">
        <f>L32-H32</f>
        <v/>
      </c>
      <c r="N32" s="110">
        <f>M32*24*60</f>
        <v/>
      </c>
      <c r="O32" s="110">
        <f>M32*24</f>
        <v/>
      </c>
    </row>
    <row r="33" ht="15.6" customFormat="1" customHeight="1" s="60">
      <c r="A33" s="49" t="n">
        <v>31</v>
      </c>
      <c r="B33" s="54" t="n"/>
      <c r="C33" s="123" t="n"/>
      <c r="D33" s="52" t="n"/>
      <c r="E33" s="52" t="n"/>
      <c r="F33" s="52" t="n"/>
      <c r="G33" s="54" t="n"/>
      <c r="H33" s="56" t="n"/>
      <c r="I33" s="210" t="n"/>
      <c r="J33" s="121" t="n"/>
      <c r="K33" s="210" t="n"/>
      <c r="L33" s="59" t="n"/>
      <c r="M33" s="109">
        <f>L33-H33</f>
        <v/>
      </c>
      <c r="N33" s="110">
        <f>M33*24*60</f>
        <v/>
      </c>
      <c r="O33" s="110">
        <f>M33*24</f>
        <v/>
      </c>
    </row>
    <row r="34" ht="15.6" customFormat="1" customHeight="1" s="60">
      <c r="A34" s="49" t="n">
        <v>32</v>
      </c>
      <c r="B34" s="54" t="n"/>
      <c r="C34" s="123" t="n"/>
      <c r="D34" s="52" t="n"/>
      <c r="E34" s="52" t="n"/>
      <c r="F34" s="52" t="n"/>
      <c r="G34" s="54" t="n"/>
      <c r="H34" s="56" t="n"/>
      <c r="I34" s="210" t="n"/>
      <c r="J34" s="121" t="n"/>
      <c r="K34" s="210" t="n"/>
      <c r="L34" s="59" t="n"/>
      <c r="M34" s="109">
        <f>L34-H34</f>
        <v/>
      </c>
      <c r="N34" s="110">
        <f>M34*24*60</f>
        <v/>
      </c>
      <c r="O34" s="110">
        <f>M34*24</f>
        <v/>
      </c>
    </row>
    <row r="35" ht="15.6" customFormat="1" customHeight="1" s="60">
      <c r="A35" s="49" t="n">
        <v>33</v>
      </c>
      <c r="B35" s="54" t="n"/>
      <c r="C35" s="123" t="n"/>
      <c r="D35" s="52" t="n"/>
      <c r="E35" s="52" t="n"/>
      <c r="F35" s="52" t="n"/>
      <c r="G35" s="54" t="n"/>
      <c r="H35" s="56" t="n"/>
      <c r="I35" s="210" t="n"/>
      <c r="J35" s="121" t="n"/>
      <c r="K35" s="210" t="n"/>
      <c r="L35" s="59" t="n"/>
      <c r="M35" s="109">
        <f>L35-H35</f>
        <v/>
      </c>
      <c r="N35" s="110">
        <f>M35*24*60</f>
        <v/>
      </c>
      <c r="O35" s="110">
        <f>M35*24</f>
        <v/>
      </c>
    </row>
    <row r="36" ht="15.6" customFormat="1" customHeight="1" s="60">
      <c r="A36" s="49" t="n">
        <v>34</v>
      </c>
      <c r="B36" s="68" t="n"/>
      <c r="C36" s="123" t="n"/>
      <c r="D36" s="69" t="n"/>
      <c r="E36" s="69" t="n"/>
      <c r="F36" s="69" t="n"/>
      <c r="G36" s="54" t="n"/>
      <c r="H36" s="56" t="n"/>
      <c r="I36" s="64" t="n"/>
      <c r="J36" s="121" t="n"/>
      <c r="K36" s="57" t="n"/>
      <c r="L36" s="59" t="n"/>
      <c r="M36" s="109">
        <f>L36-H36</f>
        <v/>
      </c>
      <c r="N36" s="110">
        <f>M36*24*60</f>
        <v/>
      </c>
      <c r="O36" s="110">
        <f>M36*24</f>
        <v/>
      </c>
    </row>
    <row r="37" ht="15.6" customFormat="1" customHeight="1" s="60">
      <c r="A37" s="49" t="n">
        <v>35</v>
      </c>
      <c r="B37" s="54" t="n"/>
      <c r="C37" s="123" t="n"/>
      <c r="D37" s="52" t="n"/>
      <c r="E37" s="52" t="n"/>
      <c r="F37" s="52" t="n"/>
      <c r="G37" s="54" t="n"/>
      <c r="H37" s="56" t="n"/>
      <c r="I37" s="64" t="n"/>
      <c r="J37" s="121" t="n"/>
      <c r="K37" s="57" t="n"/>
      <c r="L37" s="59" t="n"/>
      <c r="M37" s="109">
        <f>L37-H37</f>
        <v/>
      </c>
      <c r="N37" s="110">
        <f>M37*24*60</f>
        <v/>
      </c>
      <c r="O37" s="110">
        <f>M37*24</f>
        <v/>
      </c>
    </row>
    <row r="38" ht="15.6" customFormat="1" customHeight="1" s="60">
      <c r="A38" s="49" t="n">
        <v>36</v>
      </c>
      <c r="B38" s="54" t="n"/>
      <c r="C38" s="123" t="n"/>
      <c r="D38" s="52" t="n"/>
      <c r="E38" s="52" t="n"/>
      <c r="F38" s="52" t="n"/>
      <c r="G38" s="54" t="n"/>
      <c r="H38" s="56" t="n"/>
      <c r="I38" s="64" t="n"/>
      <c r="J38" s="121" t="n"/>
      <c r="K38" s="57" t="n"/>
      <c r="L38" s="59" t="n"/>
      <c r="M38" s="109">
        <f>L38-H38</f>
        <v/>
      </c>
      <c r="N38" s="110">
        <f>M38*24*60</f>
        <v/>
      </c>
      <c r="O38" s="110">
        <f>M38*24</f>
        <v/>
      </c>
    </row>
    <row r="39" ht="15.6" customFormat="1" customHeight="1" s="60">
      <c r="A39" s="49" t="n">
        <v>37</v>
      </c>
      <c r="B39" s="54" t="n"/>
      <c r="C39" s="123" t="n"/>
      <c r="D39" s="52" t="n"/>
      <c r="E39" s="52" t="n"/>
      <c r="F39" s="52" t="n"/>
      <c r="G39" s="58" t="n"/>
      <c r="H39" s="56" t="n"/>
      <c r="I39" s="211" t="n"/>
      <c r="J39" s="121" t="n"/>
      <c r="K39" s="210" t="n"/>
      <c r="L39" s="59" t="n"/>
      <c r="M39" s="109">
        <f>L39-H39</f>
        <v/>
      </c>
      <c r="N39" s="110">
        <f>M39*24*60</f>
        <v/>
      </c>
      <c r="O39" s="110">
        <f>M39*24</f>
        <v/>
      </c>
    </row>
    <row r="40" ht="15.6" customFormat="1" customHeight="1" s="60">
      <c r="A40" s="49" t="n">
        <v>38</v>
      </c>
      <c r="B40" s="21" t="n"/>
      <c r="C40" s="123" t="n"/>
      <c r="D40" s="21" t="n"/>
      <c r="E40" s="21" t="n"/>
      <c r="F40" s="21" t="n"/>
      <c r="G40" s="21" t="n"/>
      <c r="H40" s="23" t="n"/>
      <c r="I40" s="23" t="n"/>
      <c r="J40" s="121" t="n"/>
      <c r="K40" s="21" t="n"/>
      <c r="L40" s="22" t="n"/>
      <c r="M40" s="109">
        <f>L40-H40</f>
        <v/>
      </c>
      <c r="N40" s="110">
        <f>M40*24*60</f>
        <v/>
      </c>
      <c r="O40" s="110">
        <f>M40*24</f>
        <v/>
      </c>
    </row>
    <row r="41" ht="15.6" customFormat="1" customHeight="1" s="60">
      <c r="A41" s="49" t="n">
        <v>39</v>
      </c>
      <c r="B41" s="21" t="n"/>
      <c r="C41" s="123" t="n"/>
      <c r="D41" s="21" t="n"/>
      <c r="E41" s="21" t="n"/>
      <c r="F41" s="21" t="n"/>
      <c r="G41" s="21" t="n"/>
      <c r="H41" s="23" t="n"/>
      <c r="I41" s="23" t="n"/>
      <c r="J41" s="121" t="n"/>
      <c r="K41" s="21" t="n"/>
      <c r="L41" s="22" t="n"/>
      <c r="M41" s="109">
        <f>L41-H41</f>
        <v/>
      </c>
      <c r="N41" s="110">
        <f>M41*24*60</f>
        <v/>
      </c>
      <c r="O41" s="110">
        <f>M41*24</f>
        <v/>
      </c>
    </row>
    <row r="42" ht="15.6" customFormat="1" customHeight="1" s="60">
      <c r="A42" s="49" t="n">
        <v>40</v>
      </c>
      <c r="B42" s="21" t="n"/>
      <c r="C42" s="123" t="n"/>
      <c r="D42" s="21" t="n"/>
      <c r="E42" s="21" t="n"/>
      <c r="F42" s="21" t="n"/>
      <c r="G42" s="21" t="n"/>
      <c r="H42" s="23" t="n"/>
      <c r="I42" s="23" t="n"/>
      <c r="J42" s="121" t="n"/>
      <c r="K42" s="21" t="n"/>
      <c r="L42" s="22" t="n"/>
      <c r="M42" s="109">
        <f>L42-H42</f>
        <v/>
      </c>
      <c r="N42" s="110">
        <f>M42*24*60</f>
        <v/>
      </c>
      <c r="O42" s="110">
        <f>M42*24</f>
        <v/>
      </c>
    </row>
    <row r="43" ht="15.6" customFormat="1" customHeight="1" s="60">
      <c r="A43" s="49" t="n">
        <v>41</v>
      </c>
      <c r="B43" s="21" t="n"/>
      <c r="C43" s="123" t="n"/>
      <c r="D43" s="21" t="n"/>
      <c r="E43" s="21" t="n"/>
      <c r="F43" s="21" t="n"/>
      <c r="G43" s="21" t="n"/>
      <c r="H43" s="21" t="n"/>
      <c r="I43" s="23" t="n"/>
      <c r="J43" s="121" t="n"/>
      <c r="K43" s="21" t="n"/>
      <c r="L43" s="22" t="n"/>
      <c r="M43" s="109">
        <f>L43-H43</f>
        <v/>
      </c>
      <c r="N43" s="110">
        <f>M43*24*60</f>
        <v/>
      </c>
      <c r="O43" s="110">
        <f>M43*24</f>
        <v/>
      </c>
    </row>
    <row r="44" ht="15.6" customFormat="1" customHeight="1" s="60">
      <c r="A44" s="49" t="n">
        <v>42</v>
      </c>
      <c r="B44" s="21" t="n"/>
      <c r="C44" s="123" t="n"/>
      <c r="D44" s="21" t="n"/>
      <c r="E44" s="21" t="n"/>
      <c r="F44" s="21" t="n"/>
      <c r="G44" s="21" t="n"/>
      <c r="H44" s="21" t="n"/>
      <c r="I44" s="23" t="n"/>
      <c r="J44" s="121" t="n"/>
      <c r="K44" s="21" t="n"/>
      <c r="L44" s="22" t="n"/>
      <c r="M44" s="109">
        <f>L44-H44</f>
        <v/>
      </c>
      <c r="N44" s="110">
        <f>M44*24*60</f>
        <v/>
      </c>
      <c r="O44" s="110">
        <f>M44*24</f>
        <v/>
      </c>
    </row>
    <row r="45" ht="15.6" customFormat="1" customHeight="1" s="60">
      <c r="A45" s="49" t="n">
        <v>43</v>
      </c>
      <c r="B45" s="21" t="n"/>
      <c r="C45" s="123" t="n"/>
      <c r="D45" s="21" t="n"/>
      <c r="E45" s="21" t="n"/>
      <c r="F45" s="21" t="n"/>
      <c r="G45" s="21" t="n"/>
      <c r="H45" s="21" t="n"/>
      <c r="I45" s="23" t="n"/>
      <c r="J45" s="121" t="n"/>
      <c r="K45" s="21" t="n"/>
      <c r="L45" s="22" t="n"/>
      <c r="M45" s="109">
        <f>L45-H45</f>
        <v/>
      </c>
      <c r="N45" s="110">
        <f>M45*24*60</f>
        <v/>
      </c>
      <c r="O45" s="110">
        <f>M45*24</f>
        <v/>
      </c>
    </row>
    <row r="46" ht="15.6" customFormat="1" customHeight="1" s="60">
      <c r="A46" s="49" t="n">
        <v>44</v>
      </c>
      <c r="B46" s="21" t="n"/>
      <c r="C46" s="123" t="n"/>
      <c r="D46" s="21" t="n"/>
      <c r="E46" s="21" t="n"/>
      <c r="F46" s="21" t="n"/>
      <c r="G46" s="21" t="n"/>
      <c r="H46" s="21" t="n"/>
      <c r="I46" s="23" t="n"/>
      <c r="J46" s="121" t="n"/>
      <c r="K46" s="21" t="n"/>
      <c r="L46" s="22" t="n"/>
      <c r="M46" s="109">
        <f>L46-H46</f>
        <v/>
      </c>
      <c r="N46" s="110">
        <f>M46*24*60</f>
        <v/>
      </c>
      <c r="O46" s="110">
        <f>M46*24</f>
        <v/>
      </c>
    </row>
    <row r="47" ht="15.6" customFormat="1" customHeight="1" s="60">
      <c r="A47" s="49" t="n">
        <v>45</v>
      </c>
      <c r="B47" s="21" t="n"/>
      <c r="C47" s="123" t="n"/>
      <c r="D47" s="21" t="n"/>
      <c r="E47" s="21" t="n"/>
      <c r="F47" s="21" t="n"/>
      <c r="G47" s="21" t="n"/>
      <c r="H47" s="21" t="n"/>
      <c r="I47" s="23" t="n"/>
      <c r="J47" s="121" t="n"/>
      <c r="K47" s="21" t="n"/>
      <c r="L47" s="22" t="n"/>
      <c r="M47" s="109">
        <f>L47-H47</f>
        <v/>
      </c>
      <c r="N47" s="110">
        <f>M47*24*60</f>
        <v/>
      </c>
      <c r="O47" s="110">
        <f>M47*24</f>
        <v/>
      </c>
    </row>
    <row r="48" ht="15.6" customFormat="1" customHeight="1" s="60">
      <c r="A48" s="49" t="n">
        <v>46</v>
      </c>
      <c r="B48" s="21" t="n"/>
      <c r="C48" s="123" t="n"/>
      <c r="D48" s="21" t="n"/>
      <c r="E48" s="21" t="n"/>
      <c r="F48" s="21" t="n"/>
      <c r="G48" s="21" t="n"/>
      <c r="H48" s="21" t="n"/>
      <c r="I48" s="23" t="n"/>
      <c r="J48" s="121" t="n"/>
      <c r="K48" s="21" t="n"/>
      <c r="L48" s="21" t="n"/>
      <c r="M48" s="109">
        <f>L48-H48</f>
        <v/>
      </c>
      <c r="N48" s="110">
        <f>M48*24*60</f>
        <v/>
      </c>
      <c r="O48" s="110">
        <f>M48*24</f>
        <v/>
      </c>
    </row>
    <row r="49" ht="15.6" customFormat="1" customHeight="1" s="60">
      <c r="A49" s="49" t="n">
        <v>47</v>
      </c>
      <c r="B49" s="21" t="n"/>
      <c r="C49" s="123" t="n"/>
      <c r="D49" s="21" t="n"/>
      <c r="E49" s="21" t="n"/>
      <c r="F49" s="21" t="n"/>
      <c r="G49" s="21" t="n"/>
      <c r="H49" s="21" t="n"/>
      <c r="I49" s="23" t="n"/>
      <c r="J49" s="121" t="n"/>
      <c r="K49" s="21" t="n"/>
      <c r="L49" s="21" t="n"/>
      <c r="M49" s="109">
        <f>L49-H49</f>
        <v/>
      </c>
      <c r="N49" s="110">
        <f>M49*24*60</f>
        <v/>
      </c>
      <c r="O49" s="110">
        <f>M49*24</f>
        <v/>
      </c>
    </row>
    <row r="50" ht="15.6" customFormat="1" customHeight="1" s="60">
      <c r="A50" s="49" t="n">
        <v>48</v>
      </c>
      <c r="B50" s="21" t="n"/>
      <c r="C50" s="123" t="n"/>
      <c r="D50" s="21" t="n"/>
      <c r="E50" s="21" t="n"/>
      <c r="F50" s="21" t="n"/>
      <c r="G50" s="21" t="n"/>
      <c r="H50" s="21" t="n"/>
      <c r="I50" s="23" t="n"/>
      <c r="J50" s="121" t="n"/>
      <c r="K50" s="21" t="n"/>
      <c r="L50" s="21" t="n"/>
      <c r="M50" s="109">
        <f>L50-H50</f>
        <v/>
      </c>
      <c r="N50" s="110">
        <f>M50*24*60</f>
        <v/>
      </c>
      <c r="O50" s="110">
        <f>M50*24</f>
        <v/>
      </c>
    </row>
    <row r="51" ht="15.6" customFormat="1" customHeight="1" s="60">
      <c r="A51" s="49" t="n">
        <v>49</v>
      </c>
      <c r="B51" s="21" t="n"/>
      <c r="C51" s="123" t="n"/>
      <c r="D51" s="21" t="n"/>
      <c r="E51" s="21" t="n"/>
      <c r="F51" s="21" t="n"/>
      <c r="G51" s="21" t="n"/>
      <c r="H51" s="21" t="n"/>
      <c r="I51" s="23" t="n"/>
      <c r="J51" s="121" t="n"/>
      <c r="K51" s="21" t="n"/>
      <c r="L51" s="21" t="n"/>
      <c r="M51" s="109">
        <f>L51-H51</f>
        <v/>
      </c>
      <c r="N51" s="110">
        <f>M51*24*60</f>
        <v/>
      </c>
      <c r="O51" s="110">
        <f>M51*24</f>
        <v/>
      </c>
    </row>
    <row r="52" ht="15.6" customFormat="1" customHeight="1" s="60">
      <c r="A52" s="49" t="n">
        <v>50</v>
      </c>
      <c r="B52" s="21" t="n"/>
      <c r="C52" s="123" t="n"/>
      <c r="D52" s="21" t="n"/>
      <c r="E52" s="21" t="n"/>
      <c r="F52" s="21" t="n"/>
      <c r="G52" s="21" t="n"/>
      <c r="H52" s="21" t="n"/>
      <c r="I52" s="23" t="n"/>
      <c r="J52" s="121" t="n"/>
      <c r="K52" s="21" t="n"/>
      <c r="L52" s="21" t="n"/>
      <c r="M52" s="109">
        <f>L52-H52</f>
        <v/>
      </c>
      <c r="N52" s="110">
        <f>M52*24*60</f>
        <v/>
      </c>
      <c r="O52" s="110">
        <f>M52*24</f>
        <v/>
      </c>
    </row>
    <row r="53" ht="15.6" customFormat="1" customHeight="1" s="60">
      <c r="A53" s="49" t="n">
        <v>51</v>
      </c>
      <c r="B53" s="21" t="n"/>
      <c r="C53" s="123" t="n"/>
      <c r="D53" s="21" t="n"/>
      <c r="E53" s="21" t="n"/>
      <c r="F53" s="21" t="n"/>
      <c r="G53" s="21" t="n"/>
      <c r="H53" s="21" t="n"/>
      <c r="I53" s="23" t="n"/>
      <c r="J53" s="121" t="n"/>
      <c r="K53" s="21" t="n"/>
      <c r="L53" s="21" t="n"/>
      <c r="M53" s="109">
        <f>L53-H53</f>
        <v/>
      </c>
      <c r="N53" s="110">
        <f>M53*24*60</f>
        <v/>
      </c>
      <c r="O53" s="110">
        <f>M53*24</f>
        <v/>
      </c>
    </row>
    <row r="54" ht="15.6" customFormat="1" customHeight="1" s="60">
      <c r="A54" s="49" t="n">
        <v>52</v>
      </c>
      <c r="B54" s="21" t="n"/>
      <c r="C54" s="123" t="n"/>
      <c r="D54" s="21" t="n"/>
      <c r="E54" s="21" t="n"/>
      <c r="F54" s="21" t="n"/>
      <c r="G54" s="21" t="n"/>
      <c r="H54" s="21" t="n"/>
      <c r="I54" s="23" t="n"/>
      <c r="J54" s="121" t="n"/>
      <c r="K54" s="21" t="n"/>
      <c r="L54" s="21" t="n"/>
      <c r="M54" s="109">
        <f>L54-H54</f>
        <v/>
      </c>
      <c r="N54" s="110">
        <f>M54*24*60</f>
        <v/>
      </c>
      <c r="O54" s="110">
        <f>M54*24</f>
        <v/>
      </c>
    </row>
    <row r="55" ht="15.6" customFormat="1" customHeight="1" s="60">
      <c r="A55" s="49" t="n">
        <v>53</v>
      </c>
      <c r="B55" s="21" t="n"/>
      <c r="C55" s="123" t="n"/>
      <c r="D55" s="21" t="n"/>
      <c r="E55" s="21" t="n"/>
      <c r="F55" s="21" t="n"/>
      <c r="G55" s="21" t="n"/>
      <c r="H55" s="21" t="n"/>
      <c r="I55" s="23" t="n"/>
      <c r="J55" s="121" t="n"/>
      <c r="K55" s="21" t="n"/>
      <c r="L55" s="21" t="n"/>
      <c r="M55" s="109">
        <f>L55-H55</f>
        <v/>
      </c>
      <c r="N55" s="110">
        <f>M55*24*60</f>
        <v/>
      </c>
      <c r="O55" s="110">
        <f>M55*24</f>
        <v/>
      </c>
    </row>
    <row r="56" ht="15.6" customFormat="1" customHeight="1" s="60">
      <c r="A56" s="49" t="n">
        <v>54</v>
      </c>
      <c r="B56" s="21" t="n"/>
      <c r="C56" s="123" t="n"/>
      <c r="D56" s="21" t="n"/>
      <c r="E56" s="21" t="n"/>
      <c r="F56" s="21" t="n"/>
      <c r="G56" s="21" t="n"/>
      <c r="H56" s="21" t="n"/>
      <c r="I56" s="23" t="n"/>
      <c r="J56" s="121" t="n"/>
      <c r="K56" s="21" t="n"/>
      <c r="L56" s="21" t="n"/>
      <c r="M56" s="109">
        <f>L56-H56</f>
        <v/>
      </c>
      <c r="N56" s="110">
        <f>M56*24*60</f>
        <v/>
      </c>
      <c r="O56" s="110">
        <f>M56*24</f>
        <v/>
      </c>
    </row>
    <row r="57" ht="15.6" customFormat="1" customHeight="1" s="60">
      <c r="A57" s="49" t="n">
        <v>55</v>
      </c>
      <c r="B57" s="21" t="n"/>
      <c r="C57" s="123" t="n"/>
      <c r="D57" s="21" t="n"/>
      <c r="E57" s="21" t="n"/>
      <c r="F57" s="21" t="n"/>
      <c r="G57" s="21" t="n"/>
      <c r="H57" s="21" t="n"/>
      <c r="I57" s="23" t="n"/>
      <c r="J57" s="121" t="n"/>
      <c r="K57" s="21" t="n"/>
      <c r="L57" s="21" t="n"/>
      <c r="M57" s="109">
        <f>L57-H57</f>
        <v/>
      </c>
      <c r="N57" s="110">
        <f>M57*24*60</f>
        <v/>
      </c>
      <c r="O57" s="110">
        <f>M57*24</f>
        <v/>
      </c>
    </row>
    <row r="58" ht="15.6" customFormat="1" customHeight="1" s="60">
      <c r="A58" s="49" t="n">
        <v>56</v>
      </c>
      <c r="B58" s="21" t="n"/>
      <c r="C58" s="123" t="n"/>
      <c r="D58" s="21" t="n"/>
      <c r="E58" s="21" t="n"/>
      <c r="F58" s="21" t="n"/>
      <c r="G58" s="21" t="n"/>
      <c r="H58" s="21" t="n"/>
      <c r="I58" s="23" t="n"/>
      <c r="J58" s="121" t="n"/>
      <c r="K58" s="21" t="n"/>
      <c r="L58" s="21" t="n"/>
      <c r="M58" s="109">
        <f>L58-H58</f>
        <v/>
      </c>
      <c r="N58" s="110">
        <f>M58*24*60</f>
        <v/>
      </c>
      <c r="O58" s="110">
        <f>M58*24</f>
        <v/>
      </c>
    </row>
    <row r="59" ht="15.6" customFormat="1" customHeight="1" s="60">
      <c r="A59" s="49" t="n">
        <v>57</v>
      </c>
      <c r="B59" s="21" t="n"/>
      <c r="C59" s="123" t="n"/>
      <c r="D59" s="21" t="n"/>
      <c r="E59" s="21" t="n"/>
      <c r="F59" s="21" t="n"/>
      <c r="G59" s="21" t="n"/>
      <c r="H59" s="21" t="n"/>
      <c r="I59" s="23" t="n"/>
      <c r="J59" s="121" t="n"/>
      <c r="K59" s="21" t="n"/>
      <c r="L59" s="21" t="n"/>
      <c r="M59" s="109">
        <f>L59-H59</f>
        <v/>
      </c>
      <c r="N59" s="110">
        <f>M59*24*60</f>
        <v/>
      </c>
      <c r="O59" s="110">
        <f>M59*24</f>
        <v/>
      </c>
    </row>
    <row r="60" ht="15.6" customFormat="1" customHeight="1" s="60">
      <c r="A60" s="49" t="n">
        <v>58</v>
      </c>
      <c r="B60" s="21" t="n"/>
      <c r="C60" s="123" t="n"/>
      <c r="D60" s="21" t="n"/>
      <c r="E60" s="21" t="n"/>
      <c r="F60" s="21" t="n"/>
      <c r="G60" s="21" t="n"/>
      <c r="H60" s="21" t="n"/>
      <c r="I60" s="23" t="n"/>
      <c r="J60" s="121" t="n"/>
      <c r="K60" s="21" t="n"/>
      <c r="L60" s="21" t="n"/>
      <c r="M60" s="109">
        <f>L60-H60</f>
        <v/>
      </c>
      <c r="N60" s="110">
        <f>M60*24*60</f>
        <v/>
      </c>
      <c r="O60" s="110">
        <f>M60*24</f>
        <v/>
      </c>
    </row>
    <row r="61" ht="15.6" customFormat="1" customHeight="1" s="60">
      <c r="A61" s="49" t="n">
        <v>59</v>
      </c>
      <c r="B61" s="21" t="n"/>
      <c r="C61" s="123" t="n"/>
      <c r="D61" s="21" t="n"/>
      <c r="E61" s="21" t="n"/>
      <c r="F61" s="21" t="n"/>
      <c r="G61" s="21" t="n"/>
      <c r="H61" s="21" t="n"/>
      <c r="I61" s="23" t="n"/>
      <c r="J61" s="121" t="n"/>
      <c r="K61" s="21" t="n"/>
      <c r="L61" s="21" t="n"/>
      <c r="M61" s="109">
        <f>L61-H61</f>
        <v/>
      </c>
      <c r="N61" s="110">
        <f>M61*24*60</f>
        <v/>
      </c>
      <c r="O61" s="110">
        <f>M61*24</f>
        <v/>
      </c>
    </row>
    <row r="62" ht="15.6" customFormat="1" customHeight="1" s="60">
      <c r="A62" s="49" t="n">
        <v>60</v>
      </c>
      <c r="B62" s="21" t="n"/>
      <c r="C62" s="123" t="n"/>
      <c r="D62" s="21" t="n"/>
      <c r="E62" s="21" t="n"/>
      <c r="F62" s="21" t="n"/>
      <c r="G62" s="21" t="n"/>
      <c r="H62" s="21" t="n"/>
      <c r="I62" s="23" t="n"/>
      <c r="J62" s="121" t="n"/>
      <c r="K62" s="21" t="n"/>
      <c r="L62" s="21" t="n"/>
      <c r="M62" s="109">
        <f>L62-H62</f>
        <v/>
      </c>
      <c r="N62" s="110">
        <f>M62*24*60</f>
        <v/>
      </c>
      <c r="O62" s="110">
        <f>M62*24</f>
        <v/>
      </c>
    </row>
    <row r="63" ht="15.6" customFormat="1" customHeight="1" s="60">
      <c r="A63" s="49" t="n">
        <v>61</v>
      </c>
      <c r="B63" s="21" t="n"/>
      <c r="C63" s="123" t="n"/>
      <c r="D63" s="21" t="n"/>
      <c r="E63" s="21" t="n"/>
      <c r="F63" s="21" t="n"/>
      <c r="G63" s="21" t="n"/>
      <c r="H63" s="21" t="n"/>
      <c r="I63" s="23" t="n"/>
      <c r="J63" s="121" t="n"/>
      <c r="K63" s="21" t="n"/>
      <c r="L63" s="21" t="n"/>
      <c r="M63" s="109">
        <f>L63-H63</f>
        <v/>
      </c>
      <c r="N63" s="110">
        <f>M63*24*60</f>
        <v/>
      </c>
      <c r="O63" s="110">
        <f>M63*24</f>
        <v/>
      </c>
    </row>
    <row r="64" ht="15.6" customFormat="1" customHeight="1" s="60">
      <c r="A64" s="49" t="n">
        <v>62</v>
      </c>
      <c r="B64" s="21" t="n"/>
      <c r="C64" s="123" t="n"/>
      <c r="D64" s="21" t="n"/>
      <c r="E64" s="21" t="n"/>
      <c r="F64" s="21" t="n"/>
      <c r="G64" s="21" t="n"/>
      <c r="H64" s="21" t="n"/>
      <c r="I64" s="23" t="n"/>
      <c r="J64" s="121" t="n"/>
      <c r="K64" s="21" t="n"/>
      <c r="L64" s="21" t="n"/>
      <c r="M64" s="109">
        <f>L64-H64</f>
        <v/>
      </c>
      <c r="N64" s="110">
        <f>M64*24*60</f>
        <v/>
      </c>
      <c r="O64" s="110">
        <f>M64*24</f>
        <v/>
      </c>
    </row>
    <row r="65" ht="15.6" customFormat="1" customHeight="1" s="60">
      <c r="A65" s="49" t="n">
        <v>63</v>
      </c>
      <c r="B65" s="21" t="n"/>
      <c r="C65" s="123" t="n"/>
      <c r="D65" s="21" t="n"/>
      <c r="E65" s="21" t="n"/>
      <c r="F65" s="21" t="n"/>
      <c r="G65" s="21" t="n"/>
      <c r="H65" s="21" t="n"/>
      <c r="I65" s="23" t="n"/>
      <c r="J65" s="121" t="n"/>
      <c r="K65" s="21" t="n"/>
      <c r="L65" s="21" t="n"/>
      <c r="M65" s="109">
        <f>L65-H65</f>
        <v/>
      </c>
      <c r="N65" s="110">
        <f>M65*24*60</f>
        <v/>
      </c>
      <c r="O65" s="110">
        <f>M65*24</f>
        <v/>
      </c>
    </row>
    <row r="66" ht="15.6" customFormat="1" customHeight="1" s="60">
      <c r="A66" s="49" t="n">
        <v>64</v>
      </c>
      <c r="B66" s="21" t="n"/>
      <c r="C66" s="123" t="n"/>
      <c r="D66" s="21" t="n"/>
      <c r="E66" s="21" t="n"/>
      <c r="F66" s="21" t="n"/>
      <c r="G66" s="21" t="n"/>
      <c r="H66" s="21" t="n"/>
      <c r="I66" s="23" t="n"/>
      <c r="J66" s="121" t="n"/>
      <c r="K66" s="21" t="n"/>
      <c r="L66" s="21" t="n"/>
      <c r="M66" s="109">
        <f>L66-H66</f>
        <v/>
      </c>
      <c r="N66" s="110">
        <f>M66*24*60</f>
        <v/>
      </c>
      <c r="O66" s="110">
        <f>M66*24</f>
        <v/>
      </c>
    </row>
    <row r="67" ht="15.6" customFormat="1" customHeight="1" s="60">
      <c r="A67" s="49" t="n">
        <v>65</v>
      </c>
      <c r="B67" s="21" t="n"/>
      <c r="C67" s="123" t="n"/>
      <c r="D67" s="21" t="n"/>
      <c r="E67" s="21" t="n"/>
      <c r="F67" s="21" t="n"/>
      <c r="G67" s="21" t="n"/>
      <c r="H67" s="21" t="n"/>
      <c r="I67" s="23" t="n"/>
      <c r="J67" s="121" t="n"/>
      <c r="K67" s="21" t="n"/>
      <c r="L67" s="21" t="n"/>
      <c r="M67" s="109">
        <f>L67-H67</f>
        <v/>
      </c>
      <c r="N67" s="110">
        <f>M67*24*60</f>
        <v/>
      </c>
      <c r="O67" s="110">
        <f>M67*24</f>
        <v/>
      </c>
    </row>
    <row r="68" ht="15.6" customFormat="1" customHeight="1" s="60">
      <c r="A68" s="49" t="n">
        <v>66</v>
      </c>
      <c r="B68" s="21" t="n"/>
      <c r="C68" s="123" t="n"/>
      <c r="D68" s="21" t="n"/>
      <c r="E68" s="21" t="n"/>
      <c r="F68" s="21" t="n"/>
      <c r="G68" s="21" t="n"/>
      <c r="H68" s="21" t="n"/>
      <c r="I68" s="23" t="n"/>
      <c r="J68" s="121" t="n"/>
      <c r="K68" s="21" t="n"/>
      <c r="L68" s="21" t="n"/>
      <c r="M68" s="109">
        <f>L68-H68</f>
        <v/>
      </c>
      <c r="N68" s="110">
        <f>M68*24*60</f>
        <v/>
      </c>
      <c r="O68" s="110">
        <f>M68*24</f>
        <v/>
      </c>
    </row>
    <row r="69" ht="15.6" customFormat="1" customHeight="1" s="60">
      <c r="A69" s="49" t="n">
        <v>67</v>
      </c>
      <c r="B69" s="21" t="n"/>
      <c r="C69" s="123" t="n"/>
      <c r="D69" s="21" t="n"/>
      <c r="E69" s="21" t="n"/>
      <c r="F69" s="21" t="n"/>
      <c r="G69" s="21" t="n"/>
      <c r="H69" s="21" t="n"/>
      <c r="I69" s="23" t="n"/>
      <c r="J69" s="121" t="n"/>
      <c r="K69" s="21" t="n"/>
      <c r="L69" s="21" t="n"/>
      <c r="M69" s="109">
        <f>L69-H69</f>
        <v/>
      </c>
      <c r="N69" s="110">
        <f>M69*24*60</f>
        <v/>
      </c>
      <c r="O69" s="110">
        <f>M69*24</f>
        <v/>
      </c>
    </row>
    <row r="70" ht="15.6" customFormat="1" customHeight="1" s="60">
      <c r="A70" s="49" t="n">
        <v>68</v>
      </c>
      <c r="B70" s="21" t="n"/>
      <c r="C70" s="123" t="n"/>
      <c r="D70" s="21" t="n"/>
      <c r="E70" s="21" t="n"/>
      <c r="F70" s="21" t="n"/>
      <c r="G70" s="21" t="n"/>
      <c r="H70" s="21" t="n"/>
      <c r="I70" s="23" t="n"/>
      <c r="J70" s="121" t="n"/>
      <c r="K70" s="21" t="n"/>
      <c r="L70" s="21" t="n"/>
      <c r="M70" s="109">
        <f>L70-H70</f>
        <v/>
      </c>
      <c r="N70" s="110">
        <f>M70*24*60</f>
        <v/>
      </c>
      <c r="O70" s="110">
        <f>M70*24</f>
        <v/>
      </c>
    </row>
    <row r="71" ht="15.6" customFormat="1" customHeight="1" s="60">
      <c r="A71" s="49" t="n">
        <v>69</v>
      </c>
      <c r="B71" s="21" t="n"/>
      <c r="C71" s="123" t="n"/>
      <c r="D71" s="21" t="n"/>
      <c r="E71" s="21" t="n"/>
      <c r="F71" s="21" t="n"/>
      <c r="G71" s="21" t="n"/>
      <c r="H71" s="21" t="n"/>
      <c r="I71" s="23" t="n"/>
      <c r="J71" s="121" t="n"/>
      <c r="K71" s="21" t="n"/>
      <c r="L71" s="21" t="n"/>
      <c r="M71" s="109">
        <f>L71-H71</f>
        <v/>
      </c>
      <c r="N71" s="110">
        <f>M71*24*60</f>
        <v/>
      </c>
      <c r="O71" s="110">
        <f>M71*24</f>
        <v/>
      </c>
    </row>
    <row r="72" ht="15.6" customFormat="1" customHeight="1" s="60">
      <c r="A72" s="49" t="n">
        <v>70</v>
      </c>
      <c r="B72" s="21" t="n"/>
      <c r="C72" s="123" t="n"/>
      <c r="D72" s="21" t="n"/>
      <c r="E72" s="21" t="n"/>
      <c r="F72" s="21" t="n"/>
      <c r="G72" s="21" t="n"/>
      <c r="H72" s="21" t="n"/>
      <c r="I72" s="23" t="n"/>
      <c r="J72" s="121" t="n"/>
      <c r="K72" s="21" t="n"/>
      <c r="L72" s="21" t="n"/>
      <c r="M72" s="109">
        <f>L72-H72</f>
        <v/>
      </c>
      <c r="N72" s="110">
        <f>M72*24*60</f>
        <v/>
      </c>
      <c r="O72" s="110">
        <f>M72*24</f>
        <v/>
      </c>
    </row>
    <row r="73" ht="15.6" customFormat="1" customHeight="1" s="60">
      <c r="A73" s="49" t="n">
        <v>71</v>
      </c>
      <c r="B73" s="21" t="n"/>
      <c r="C73" s="123" t="n"/>
      <c r="D73" s="21" t="n"/>
      <c r="E73" s="21" t="n"/>
      <c r="F73" s="21" t="n"/>
      <c r="G73" s="21" t="n"/>
      <c r="H73" s="21" t="n"/>
      <c r="I73" s="23" t="n"/>
      <c r="J73" s="121" t="n"/>
      <c r="K73" s="21" t="n"/>
      <c r="L73" s="21" t="n"/>
      <c r="M73" s="109">
        <f>L73-H73</f>
        <v/>
      </c>
      <c r="N73" s="110">
        <f>M73*24*60</f>
        <v/>
      </c>
      <c r="O73" s="110">
        <f>M73*24</f>
        <v/>
      </c>
    </row>
    <row r="74" ht="15.6" customFormat="1" customHeight="1" s="60">
      <c r="A74" s="49" t="n">
        <v>72</v>
      </c>
      <c r="B74" s="21" t="n"/>
      <c r="C74" s="123" t="n"/>
      <c r="D74" s="21" t="n"/>
      <c r="E74" s="21" t="n"/>
      <c r="F74" s="21" t="n"/>
      <c r="G74" s="21" t="n"/>
      <c r="H74" s="21" t="n"/>
      <c r="I74" s="23" t="n"/>
      <c r="J74" s="121" t="n"/>
      <c r="K74" s="21" t="n"/>
      <c r="L74" s="21" t="n"/>
      <c r="M74" s="109">
        <f>L74-H74</f>
        <v/>
      </c>
      <c r="N74" s="110">
        <f>M74*24*60</f>
        <v/>
      </c>
      <c r="O74" s="110">
        <f>M74*24</f>
        <v/>
      </c>
    </row>
    <row r="75" ht="15.6" customFormat="1" customHeight="1" s="60">
      <c r="A75" s="49" t="n">
        <v>73</v>
      </c>
      <c r="B75" s="21" t="n"/>
      <c r="C75" s="123" t="n"/>
      <c r="D75" s="21" t="n"/>
      <c r="E75" s="21" t="n"/>
      <c r="F75" s="21" t="n"/>
      <c r="G75" s="21" t="n"/>
      <c r="H75" s="21" t="n"/>
      <c r="I75" s="23" t="n"/>
      <c r="J75" s="121" t="n"/>
      <c r="K75" s="21" t="n"/>
      <c r="L75" s="21" t="n"/>
      <c r="M75" s="109">
        <f>L75-H75</f>
        <v/>
      </c>
      <c r="N75" s="110">
        <f>M75*24*60</f>
        <v/>
      </c>
      <c r="O75" s="110">
        <f>M75*24</f>
        <v/>
      </c>
    </row>
    <row r="76" ht="15.6" customFormat="1" customHeight="1" s="60">
      <c r="A76" s="49" t="n">
        <v>74</v>
      </c>
      <c r="B76" s="21" t="n"/>
      <c r="C76" s="123" t="n"/>
      <c r="D76" s="21" t="n"/>
      <c r="E76" s="21" t="n"/>
      <c r="F76" s="21" t="n"/>
      <c r="G76" s="21" t="n"/>
      <c r="H76" s="21" t="n"/>
      <c r="I76" s="23" t="n"/>
      <c r="J76" s="121" t="n"/>
      <c r="K76" s="21" t="n"/>
      <c r="L76" s="21" t="n"/>
      <c r="M76" s="109">
        <f>L76-H76</f>
        <v/>
      </c>
      <c r="N76" s="110">
        <f>M76*24*60</f>
        <v/>
      </c>
      <c r="O76" s="110">
        <f>M76*24</f>
        <v/>
      </c>
    </row>
    <row r="77" ht="15.6" customFormat="1" customHeight="1" s="60">
      <c r="A77" s="49" t="n">
        <v>75</v>
      </c>
      <c r="B77" s="21" t="n"/>
      <c r="C77" s="123" t="n"/>
      <c r="D77" s="21" t="n"/>
      <c r="E77" s="21" t="n"/>
      <c r="F77" s="21" t="n"/>
      <c r="G77" s="21" t="n"/>
      <c r="H77" s="21" t="n"/>
      <c r="I77" s="23" t="n"/>
      <c r="J77" s="121" t="n"/>
      <c r="K77" s="21" t="n"/>
      <c r="L77" s="21" t="n"/>
      <c r="M77" s="109">
        <f>L77-H77</f>
        <v/>
      </c>
      <c r="N77" s="110">
        <f>M77*24*60</f>
        <v/>
      </c>
      <c r="O77" s="110">
        <f>M77*24</f>
        <v/>
      </c>
    </row>
    <row r="78" ht="15.6" customFormat="1" customHeight="1" s="60">
      <c r="A78" s="49" t="n">
        <v>76</v>
      </c>
      <c r="B78" s="21" t="n"/>
      <c r="C78" s="123" t="n"/>
      <c r="D78" s="21" t="n"/>
      <c r="E78" s="21" t="n"/>
      <c r="F78" s="21" t="n"/>
      <c r="G78" s="21" t="n"/>
      <c r="H78" s="21" t="n"/>
      <c r="I78" s="23" t="n"/>
      <c r="J78" s="121" t="n"/>
      <c r="K78" s="21" t="n"/>
      <c r="L78" s="21" t="n"/>
      <c r="M78" s="109">
        <f>L78-H78</f>
        <v/>
      </c>
      <c r="N78" s="110">
        <f>M78*24*60</f>
        <v/>
      </c>
      <c r="O78" s="110">
        <f>M78*24</f>
        <v/>
      </c>
    </row>
    <row r="79" ht="15.6" customFormat="1" customHeight="1" s="60">
      <c r="A79" s="49" t="n">
        <v>77</v>
      </c>
      <c r="B79" s="21" t="n"/>
      <c r="C79" s="123" t="n"/>
      <c r="D79" s="21" t="n"/>
      <c r="E79" s="21" t="n"/>
      <c r="F79" s="21" t="n"/>
      <c r="G79" s="21" t="n"/>
      <c r="H79" s="21" t="n"/>
      <c r="I79" s="23" t="n"/>
      <c r="J79" s="121" t="n"/>
      <c r="K79" s="21" t="n"/>
      <c r="L79" s="21" t="n"/>
      <c r="M79" s="109">
        <f>L79-H79</f>
        <v/>
      </c>
      <c r="N79" s="110">
        <f>M79*24*60</f>
        <v/>
      </c>
      <c r="O79" s="110">
        <f>M79*24</f>
        <v/>
      </c>
    </row>
    <row r="80" ht="15.6" customFormat="1" customHeight="1" s="60">
      <c r="A80" s="49" t="n">
        <v>78</v>
      </c>
      <c r="B80" s="21" t="n"/>
      <c r="C80" s="123" t="n"/>
      <c r="D80" s="21" t="n"/>
      <c r="E80" s="21" t="n"/>
      <c r="F80" s="21" t="n"/>
      <c r="G80" s="21" t="n"/>
      <c r="H80" s="21" t="n"/>
      <c r="I80" s="23" t="n"/>
      <c r="J80" s="121" t="n"/>
      <c r="K80" s="21" t="n"/>
      <c r="L80" s="21" t="n"/>
      <c r="M80" s="109">
        <f>L80-H80</f>
        <v/>
      </c>
      <c r="N80" s="110">
        <f>M80*24*60</f>
        <v/>
      </c>
      <c r="O80" s="110">
        <f>M80*24</f>
        <v/>
      </c>
    </row>
    <row r="81" ht="15.6" customFormat="1" customHeight="1" s="60">
      <c r="A81" s="49" t="n">
        <v>79</v>
      </c>
      <c r="B81" s="21" t="n"/>
      <c r="C81" s="123" t="n"/>
      <c r="D81" s="21" t="n"/>
      <c r="E81" s="21" t="n"/>
      <c r="F81" s="21" t="n"/>
      <c r="G81" s="21" t="n"/>
      <c r="H81" s="21" t="n"/>
      <c r="I81" s="23" t="n"/>
      <c r="J81" s="121" t="n"/>
      <c r="K81" s="21" t="n"/>
      <c r="L81" s="21" t="n"/>
      <c r="M81" s="109">
        <f>L81-H81</f>
        <v/>
      </c>
      <c r="N81" s="110">
        <f>M81*24*60</f>
        <v/>
      </c>
      <c r="O81" s="110">
        <f>M81*24</f>
        <v/>
      </c>
    </row>
    <row r="82" ht="15.6" customFormat="1" customHeight="1" s="60">
      <c r="A82" s="49" t="n">
        <v>80</v>
      </c>
      <c r="B82" s="21" t="n"/>
      <c r="C82" s="123" t="n"/>
      <c r="D82" s="21" t="n"/>
      <c r="E82" s="21" t="n"/>
      <c r="F82" s="21" t="n"/>
      <c r="G82" s="21" t="n"/>
      <c r="H82" s="21" t="n"/>
      <c r="I82" s="23" t="n"/>
      <c r="J82" s="121" t="n"/>
      <c r="K82" s="21" t="n"/>
      <c r="L82" s="21" t="n"/>
      <c r="M82" s="109">
        <f>L82-H82</f>
        <v/>
      </c>
      <c r="N82" s="110">
        <f>M82*24*60</f>
        <v/>
      </c>
      <c r="O82" s="110">
        <f>M82*24</f>
        <v/>
      </c>
    </row>
    <row r="83" ht="15.6" customFormat="1" customHeight="1" s="60">
      <c r="A83" s="49" t="n">
        <v>81</v>
      </c>
      <c r="B83" s="21" t="n"/>
      <c r="C83" s="123" t="n"/>
      <c r="D83" s="21" t="n"/>
      <c r="E83" s="21" t="n"/>
      <c r="F83" s="21" t="n"/>
      <c r="G83" s="21" t="n"/>
      <c r="H83" s="21" t="n"/>
      <c r="I83" s="23" t="n"/>
      <c r="J83" s="121" t="n"/>
      <c r="K83" s="21" t="n"/>
      <c r="L83" s="21" t="n"/>
      <c r="M83" s="109">
        <f>L83-H83</f>
        <v/>
      </c>
      <c r="N83" s="110">
        <f>M83*24*60</f>
        <v/>
      </c>
      <c r="O83" s="110">
        <f>M83*24</f>
        <v/>
      </c>
    </row>
    <row r="84" ht="15.6" customFormat="1" customHeight="1" s="60">
      <c r="A84" s="49" t="n">
        <v>82</v>
      </c>
      <c r="B84" s="21" t="n"/>
      <c r="C84" s="123" t="n"/>
      <c r="D84" s="21" t="n"/>
      <c r="E84" s="21" t="n"/>
      <c r="F84" s="21" t="n"/>
      <c r="G84" s="21" t="n"/>
      <c r="H84" s="21" t="n"/>
      <c r="I84" s="23" t="n"/>
      <c r="J84" s="121" t="n"/>
      <c r="K84" s="21" t="n"/>
      <c r="L84" s="21" t="n"/>
      <c r="M84" s="109">
        <f>L84-H84</f>
        <v/>
      </c>
      <c r="N84" s="110">
        <f>M84*24*60</f>
        <v/>
      </c>
      <c r="O84" s="110">
        <f>M84*24</f>
        <v/>
      </c>
    </row>
    <row r="85" ht="15.6" customFormat="1" customHeight="1" s="60">
      <c r="A85" s="49" t="n">
        <v>83</v>
      </c>
      <c r="B85" s="21" t="n"/>
      <c r="C85" s="123" t="n"/>
      <c r="D85" s="21" t="n"/>
      <c r="E85" s="21" t="n"/>
      <c r="F85" s="21" t="n"/>
      <c r="G85" s="21" t="n"/>
      <c r="H85" s="21" t="n"/>
      <c r="I85" s="23" t="n"/>
      <c r="J85" s="121" t="n"/>
      <c r="K85" s="21" t="n"/>
      <c r="L85" s="21" t="n"/>
      <c r="M85" s="109">
        <f>L85-H85</f>
        <v/>
      </c>
      <c r="N85" s="110">
        <f>M85*24*60</f>
        <v/>
      </c>
      <c r="O85" s="110">
        <f>M85*24</f>
        <v/>
      </c>
    </row>
    <row r="86" ht="15.6" customFormat="1" customHeight="1" s="60">
      <c r="A86" s="49" t="n">
        <v>84</v>
      </c>
      <c r="B86" s="21" t="n"/>
      <c r="C86" s="123" t="n"/>
      <c r="D86" s="21" t="n"/>
      <c r="E86" s="21" t="n"/>
      <c r="F86" s="21" t="n"/>
      <c r="G86" s="21" t="n"/>
      <c r="H86" s="21" t="n"/>
      <c r="I86" s="23" t="n"/>
      <c r="J86" s="121" t="n"/>
      <c r="K86" s="21" t="n"/>
      <c r="L86" s="21" t="n"/>
      <c r="M86" s="109">
        <f>L86-H86</f>
        <v/>
      </c>
      <c r="N86" s="110">
        <f>M86*24*60</f>
        <v/>
      </c>
      <c r="O86" s="110">
        <f>M86*24</f>
        <v/>
      </c>
    </row>
    <row r="87" ht="15.6" customFormat="1" customHeight="1" s="60">
      <c r="A87" s="49" t="n">
        <v>85</v>
      </c>
      <c r="B87" s="21" t="n"/>
      <c r="C87" s="123" t="n"/>
      <c r="D87" s="21" t="n"/>
      <c r="E87" s="21" t="n"/>
      <c r="F87" s="21" t="n"/>
      <c r="G87" s="21" t="n"/>
      <c r="H87" s="21" t="n"/>
      <c r="I87" s="23" t="n"/>
      <c r="J87" s="121" t="n"/>
      <c r="K87" s="21" t="n"/>
      <c r="L87" s="21" t="n"/>
      <c r="M87" s="109">
        <f>L87-H87</f>
        <v/>
      </c>
      <c r="N87" s="110">
        <f>M87*24*60</f>
        <v/>
      </c>
      <c r="O87" s="110">
        <f>M87*24</f>
        <v/>
      </c>
    </row>
    <row r="88" ht="15.6" customFormat="1" customHeight="1" s="60">
      <c r="A88" s="49" t="n">
        <v>86</v>
      </c>
      <c r="B88" s="21" t="n"/>
      <c r="C88" s="123" t="n"/>
      <c r="D88" s="21" t="n"/>
      <c r="E88" s="21" t="n"/>
      <c r="F88" s="21" t="n"/>
      <c r="G88" s="21" t="n"/>
      <c r="H88" s="21" t="n"/>
      <c r="I88" s="23" t="n"/>
      <c r="J88" s="121" t="n"/>
      <c r="K88" s="21" t="n"/>
      <c r="L88" s="21" t="n"/>
      <c r="M88" s="109">
        <f>L88-H88</f>
        <v/>
      </c>
      <c r="N88" s="110">
        <f>M88*24*60</f>
        <v/>
      </c>
      <c r="O88" s="110">
        <f>M88*24</f>
        <v/>
      </c>
    </row>
    <row r="89" ht="15.6" customFormat="1" customHeight="1" s="60">
      <c r="A89" s="49" t="n">
        <v>87</v>
      </c>
      <c r="B89" s="21" t="n"/>
      <c r="C89" s="123" t="n"/>
      <c r="D89" s="21" t="n"/>
      <c r="E89" s="21" t="n"/>
      <c r="F89" s="21" t="n"/>
      <c r="G89" s="21" t="n"/>
      <c r="H89" s="21" t="n"/>
      <c r="I89" s="23" t="n"/>
      <c r="J89" s="121" t="n"/>
      <c r="K89" s="21" t="n"/>
      <c r="L89" s="21" t="n"/>
      <c r="M89" s="109">
        <f>L89-H89</f>
        <v/>
      </c>
      <c r="N89" s="110">
        <f>M89*24*60</f>
        <v/>
      </c>
      <c r="O89" s="110">
        <f>M89*24</f>
        <v/>
      </c>
    </row>
    <row r="90" ht="15.6" customFormat="1" customHeight="1" s="60">
      <c r="A90" s="49" t="n">
        <v>88</v>
      </c>
      <c r="B90" s="21" t="n"/>
      <c r="C90" s="123" t="n"/>
      <c r="D90" s="21" t="n"/>
      <c r="E90" s="21" t="n"/>
      <c r="F90" s="21" t="n"/>
      <c r="G90" s="21" t="n"/>
      <c r="H90" s="21" t="n"/>
      <c r="I90" s="23" t="n"/>
      <c r="J90" s="121" t="n"/>
      <c r="K90" s="21" t="n"/>
      <c r="L90" s="21" t="n"/>
      <c r="M90" s="109">
        <f>L90-H90</f>
        <v/>
      </c>
      <c r="N90" s="110">
        <f>M90*24*60</f>
        <v/>
      </c>
      <c r="O90" s="110">
        <f>M90*24</f>
        <v/>
      </c>
    </row>
    <row r="91" ht="15.6" customFormat="1" customHeight="1" s="60">
      <c r="A91" s="49" t="n">
        <v>89</v>
      </c>
      <c r="B91" s="21" t="n"/>
      <c r="C91" s="123" t="n"/>
      <c r="D91" s="21" t="n"/>
      <c r="E91" s="21" t="n"/>
      <c r="F91" s="21" t="n"/>
      <c r="G91" s="21" t="n"/>
      <c r="H91" s="21" t="n"/>
      <c r="I91" s="23" t="n"/>
      <c r="J91" s="121" t="n"/>
      <c r="K91" s="21" t="n"/>
      <c r="L91" s="21" t="n"/>
      <c r="M91" s="109">
        <f>L91-H91</f>
        <v/>
      </c>
      <c r="N91" s="110">
        <f>M91*24*60</f>
        <v/>
      </c>
      <c r="O91" s="110">
        <f>M91*24</f>
        <v/>
      </c>
    </row>
    <row r="92" ht="15.6" customFormat="1" customHeight="1" s="60">
      <c r="A92" s="49" t="n">
        <v>90</v>
      </c>
      <c r="B92" s="21" t="n"/>
      <c r="C92" s="123" t="n"/>
      <c r="D92" s="21" t="n"/>
      <c r="E92" s="21" t="n"/>
      <c r="F92" s="21" t="n"/>
      <c r="G92" s="21" t="n"/>
      <c r="H92" s="21" t="n"/>
      <c r="I92" s="23" t="n"/>
      <c r="J92" s="121" t="n"/>
      <c r="K92" s="21" t="n"/>
      <c r="L92" s="21" t="n"/>
      <c r="M92" s="109">
        <f>L92-H92</f>
        <v/>
      </c>
      <c r="N92" s="110">
        <f>M92*24*60</f>
        <v/>
      </c>
      <c r="O92" s="110">
        <f>M92*24</f>
        <v/>
      </c>
    </row>
    <row r="93" ht="15.6" customFormat="1" customHeight="1" s="60">
      <c r="A93" s="49" t="n">
        <v>91</v>
      </c>
      <c r="B93" s="21" t="n"/>
      <c r="C93" s="123" t="n"/>
      <c r="D93" s="21" t="n"/>
      <c r="E93" s="21" t="n"/>
      <c r="F93" s="21" t="n"/>
      <c r="G93" s="21" t="n"/>
      <c r="H93" s="21" t="n"/>
      <c r="I93" s="23" t="n"/>
      <c r="J93" s="121" t="n"/>
      <c r="K93" s="21" t="n"/>
      <c r="L93" s="21" t="n"/>
      <c r="M93" s="109">
        <f>L93-H93</f>
        <v/>
      </c>
      <c r="N93" s="110">
        <f>M93*24*60</f>
        <v/>
      </c>
      <c r="O93" s="110">
        <f>M93*24</f>
        <v/>
      </c>
    </row>
    <row r="94" ht="15.6" customFormat="1" customHeight="1" s="60">
      <c r="A94" s="49" t="n">
        <v>92</v>
      </c>
      <c r="B94" s="21" t="n"/>
      <c r="C94" s="123" t="n"/>
      <c r="D94" s="21" t="n"/>
      <c r="E94" s="21" t="n"/>
      <c r="F94" s="21" t="n"/>
      <c r="G94" s="21" t="n"/>
      <c r="H94" s="21" t="n"/>
      <c r="I94" s="23" t="n"/>
      <c r="J94" s="121" t="n"/>
      <c r="K94" s="21" t="n"/>
      <c r="L94" s="21" t="n"/>
      <c r="M94" s="109">
        <f>L94-H94</f>
        <v/>
      </c>
      <c r="N94" s="110">
        <f>M94*24*60</f>
        <v/>
      </c>
      <c r="O94" s="110">
        <f>M94*24</f>
        <v/>
      </c>
    </row>
    <row r="95" ht="15.6" customFormat="1" customHeight="1" s="60">
      <c r="A95" s="49" t="n">
        <v>93</v>
      </c>
      <c r="B95" s="21" t="n"/>
      <c r="C95" s="123" t="n"/>
      <c r="D95" s="21" t="n"/>
      <c r="E95" s="21" t="n"/>
      <c r="F95" s="21" t="n"/>
      <c r="G95" s="21" t="n"/>
      <c r="H95" s="21" t="n"/>
      <c r="I95" s="23" t="n"/>
      <c r="J95" s="121" t="n"/>
      <c r="K95" s="21" t="n"/>
      <c r="L95" s="21" t="n"/>
      <c r="M95" s="109">
        <f>L95-H95</f>
        <v/>
      </c>
      <c r="N95" s="110">
        <f>M95*24*60</f>
        <v/>
      </c>
      <c r="O95" s="110">
        <f>M95*24</f>
        <v/>
      </c>
    </row>
    <row r="96" ht="15.6" customFormat="1" customHeight="1" s="60">
      <c r="A96" s="49" t="n">
        <v>94</v>
      </c>
      <c r="B96" s="21" t="n"/>
      <c r="C96" s="123" t="n"/>
      <c r="D96" s="21" t="n"/>
      <c r="E96" s="21" t="n"/>
      <c r="F96" s="21" t="n"/>
      <c r="G96" s="21" t="n"/>
      <c r="H96" s="21" t="n"/>
      <c r="I96" s="23" t="n"/>
      <c r="J96" s="121" t="n"/>
      <c r="K96" s="21" t="n"/>
      <c r="L96" s="21" t="n"/>
      <c r="M96" s="109">
        <f>L96-H96</f>
        <v/>
      </c>
      <c r="N96" s="110">
        <f>M96*24*60</f>
        <v/>
      </c>
      <c r="O96" s="110">
        <f>M96*24</f>
        <v/>
      </c>
    </row>
    <row r="97" ht="15.6" customFormat="1" customHeight="1" s="60">
      <c r="A97" s="49" t="n">
        <v>95</v>
      </c>
      <c r="B97" s="21" t="n"/>
      <c r="C97" s="123" t="n"/>
      <c r="D97" s="21" t="n"/>
      <c r="E97" s="21" t="n"/>
      <c r="F97" s="21" t="n"/>
      <c r="G97" s="21" t="n"/>
      <c r="H97" s="21" t="n"/>
      <c r="I97" s="23" t="n"/>
      <c r="J97" s="121" t="n"/>
      <c r="K97" s="21" t="n"/>
      <c r="L97" s="21" t="n"/>
      <c r="M97" s="109">
        <f>L97-H97</f>
        <v/>
      </c>
      <c r="N97" s="110">
        <f>M97*24*60</f>
        <v/>
      </c>
      <c r="O97" s="110">
        <f>M97*24</f>
        <v/>
      </c>
    </row>
    <row r="98" ht="15.6" customFormat="1" customHeight="1" s="60">
      <c r="A98" s="49" t="n">
        <v>96</v>
      </c>
      <c r="B98" s="21" t="n"/>
      <c r="C98" s="123" t="n"/>
      <c r="D98" s="21" t="n"/>
      <c r="E98" s="21" t="n"/>
      <c r="F98" s="21" t="n"/>
      <c r="G98" s="21" t="n"/>
      <c r="H98" s="21" t="n"/>
      <c r="I98" s="23" t="n"/>
      <c r="J98" s="121" t="n"/>
      <c r="K98" s="21" t="n"/>
      <c r="L98" s="21" t="n"/>
      <c r="M98" s="109">
        <f>L98-H98</f>
        <v/>
      </c>
      <c r="N98" s="110">
        <f>M98*24*60</f>
        <v/>
      </c>
      <c r="O98" s="110">
        <f>M98*24</f>
        <v/>
      </c>
    </row>
    <row r="99" ht="15.6" customFormat="1" customHeight="1" s="60">
      <c r="A99" s="49" t="n">
        <v>97</v>
      </c>
      <c r="B99" s="21" t="n"/>
      <c r="C99" s="123" t="n"/>
      <c r="D99" s="21" t="n"/>
      <c r="E99" s="21" t="n"/>
      <c r="F99" s="21" t="n"/>
      <c r="G99" s="21" t="n"/>
      <c r="H99" s="21" t="n"/>
      <c r="I99" s="23" t="n"/>
      <c r="J99" s="121" t="n"/>
      <c r="K99" s="21" t="n"/>
      <c r="L99" s="21" t="n"/>
      <c r="M99" s="109">
        <f>L99-H99</f>
        <v/>
      </c>
      <c r="N99" s="110">
        <f>M99*24*60</f>
        <v/>
      </c>
      <c r="O99" s="110">
        <f>M99*24</f>
        <v/>
      </c>
    </row>
    <row r="100" ht="15.6" customFormat="1" customHeight="1" s="60">
      <c r="A100" s="49" t="n">
        <v>98</v>
      </c>
      <c r="B100" s="21" t="n"/>
      <c r="C100" s="123" t="n"/>
      <c r="D100" s="21" t="n"/>
      <c r="E100" s="21" t="n"/>
      <c r="F100" s="21" t="n"/>
      <c r="G100" s="21" t="n"/>
      <c r="H100" s="21" t="n"/>
      <c r="I100" s="23" t="n"/>
      <c r="J100" s="121" t="n"/>
      <c r="K100" s="21" t="n"/>
      <c r="L100" s="21" t="n"/>
      <c r="M100" s="109">
        <f>L100-H100</f>
        <v/>
      </c>
      <c r="N100" s="110">
        <f>M100*24*60</f>
        <v/>
      </c>
      <c r="O100" s="110">
        <f>M100*24</f>
        <v/>
      </c>
    </row>
    <row r="101" ht="15.6" customFormat="1" customHeight="1" s="60">
      <c r="A101" s="165" t="n"/>
      <c r="B101" s="165" t="n"/>
      <c r="C101" s="123" t="n"/>
      <c r="D101" s="165" t="n"/>
      <c r="E101" s="165" t="n"/>
      <c r="F101" s="165" t="n"/>
      <c r="G101" s="165" t="n"/>
      <c r="H101" s="165" t="n"/>
      <c r="I101" s="212" t="n"/>
      <c r="J101" s="121" t="n"/>
      <c r="K101" s="165" t="n"/>
      <c r="L101" s="165" t="n"/>
      <c r="M101" s="165" t="n"/>
      <c r="N101" s="165" t="n"/>
      <c r="O101" s="165" t="n"/>
    </row>
    <row r="102" ht="15.6" customFormat="1" customHeight="1" s="60">
      <c r="A102" s="165" t="n"/>
      <c r="B102" s="165" t="n"/>
      <c r="C102" s="123" t="n"/>
      <c r="D102" s="165" t="n"/>
      <c r="E102" s="165" t="n"/>
      <c r="F102" s="165" t="n"/>
      <c r="G102" s="165" t="n"/>
      <c r="H102" s="165" t="n"/>
      <c r="I102" s="212" t="n"/>
      <c r="J102" s="121" t="n"/>
      <c r="K102" s="165" t="n"/>
      <c r="L102" s="165" t="n"/>
      <c r="M102" s="165" t="n"/>
      <c r="N102" s="165" t="n"/>
      <c r="O102" s="165" t="n"/>
    </row>
    <row r="103" ht="15.6" customFormat="1" customHeight="1" s="60">
      <c r="A103" s="165" t="n"/>
      <c r="B103" s="165" t="n"/>
      <c r="C103" s="123" t="n"/>
      <c r="D103" s="165" t="n"/>
      <c r="E103" s="165" t="n"/>
      <c r="F103" s="165" t="n"/>
      <c r="G103" s="165" t="n"/>
      <c r="H103" s="165" t="n"/>
      <c r="I103" s="212" t="n"/>
      <c r="J103" s="121" t="n"/>
      <c r="K103" s="165" t="n"/>
      <c r="L103" s="165" t="n"/>
      <c r="M103" s="165" t="n"/>
      <c r="N103" s="165" t="n"/>
      <c r="O103" s="165" t="n"/>
    </row>
    <row r="104" ht="15.6" customFormat="1" customHeight="1" s="60">
      <c r="A104" s="165" t="n"/>
      <c r="B104" s="165" t="n"/>
      <c r="C104" s="123" t="n"/>
      <c r="D104" s="165" t="n"/>
      <c r="E104" s="165" t="n"/>
      <c r="F104" s="165" t="n"/>
      <c r="G104" s="165" t="n"/>
      <c r="H104" s="165" t="n"/>
      <c r="I104" s="212" t="n"/>
      <c r="J104" s="121" t="n"/>
      <c r="K104" s="165" t="n"/>
      <c r="L104" s="165" t="n"/>
      <c r="M104" s="165" t="n"/>
      <c r="N104" s="165" t="n"/>
      <c r="O104" s="165" t="n"/>
    </row>
    <row r="105" ht="15.6" customFormat="1" customHeight="1" s="60">
      <c r="A105" s="165" t="n"/>
      <c r="B105" s="165" t="n"/>
      <c r="C105" s="123" t="n"/>
      <c r="D105" s="165" t="n"/>
      <c r="E105" s="165" t="n"/>
      <c r="F105" s="165" t="n"/>
      <c r="G105" s="165" t="n"/>
      <c r="H105" s="165" t="n"/>
      <c r="I105" s="212" t="n"/>
      <c r="J105" s="121" t="n"/>
      <c r="K105" s="165" t="n"/>
      <c r="L105" s="165" t="n"/>
      <c r="M105" s="165" t="n"/>
      <c r="N105" s="165" t="n"/>
      <c r="O105" s="165" t="n"/>
    </row>
    <row r="106" ht="15.6" customFormat="1" customHeight="1" s="60">
      <c r="A106" s="165" t="n"/>
      <c r="B106" s="165" t="n"/>
      <c r="C106" s="123" t="n"/>
      <c r="D106" s="165" t="n"/>
      <c r="E106" s="165" t="n"/>
      <c r="F106" s="165" t="n"/>
      <c r="G106" s="165" t="n"/>
      <c r="H106" s="165" t="n"/>
      <c r="I106" s="212" t="n"/>
      <c r="J106" s="121" t="n"/>
      <c r="K106" s="165" t="n"/>
      <c r="L106" s="165" t="n"/>
      <c r="M106" s="165" t="n"/>
      <c r="N106" s="165" t="n"/>
      <c r="O106" s="165" t="n"/>
    </row>
    <row r="107" ht="15.6" customFormat="1" customHeight="1" s="60">
      <c r="A107" s="165" t="n"/>
      <c r="B107" s="165" t="n"/>
      <c r="C107" s="123" t="n"/>
      <c r="D107" s="165" t="n"/>
      <c r="E107" s="165" t="n"/>
      <c r="F107" s="165" t="n"/>
      <c r="G107" s="165" t="n"/>
      <c r="H107" s="165" t="n"/>
      <c r="I107" s="212" t="n"/>
      <c r="J107" s="121" t="n"/>
      <c r="K107" s="165" t="n"/>
      <c r="L107" s="165" t="n"/>
      <c r="M107" s="165" t="n"/>
      <c r="N107" s="165" t="n"/>
      <c r="O107" s="165" t="n"/>
    </row>
    <row r="108" ht="15.6" customFormat="1" customHeight="1" s="60">
      <c r="A108" s="165" t="n"/>
      <c r="B108" s="165" t="n"/>
      <c r="C108" s="123" t="n"/>
      <c r="D108" s="165" t="n"/>
      <c r="E108" s="165" t="n"/>
      <c r="F108" s="165" t="n"/>
      <c r="G108" s="165" t="n"/>
      <c r="H108" s="165" t="n"/>
      <c r="I108" s="212" t="n"/>
      <c r="J108" s="121" t="n"/>
      <c r="K108" s="165" t="n"/>
      <c r="L108" s="165" t="n"/>
      <c r="M108" s="165" t="n"/>
      <c r="N108" s="165" t="n"/>
      <c r="O108" s="165" t="n"/>
    </row>
    <row r="109" ht="15.6" customFormat="1" customHeight="1" s="60">
      <c r="A109" s="165" t="n"/>
      <c r="B109" s="165" t="n"/>
      <c r="C109" s="123" t="n"/>
      <c r="D109" s="165" t="n"/>
      <c r="E109" s="165" t="n"/>
      <c r="F109" s="165" t="n"/>
      <c r="G109" s="165" t="n"/>
      <c r="H109" s="165" t="n"/>
      <c r="I109" s="212" t="n"/>
      <c r="J109" s="121" t="n"/>
      <c r="K109" s="165" t="n"/>
      <c r="L109" s="165" t="n"/>
      <c r="M109" s="165" t="n"/>
      <c r="N109" s="165" t="n"/>
      <c r="O109" s="165" t="n"/>
    </row>
    <row r="110" ht="15.6" customFormat="1" customHeight="1" s="60">
      <c r="A110" s="165" t="n"/>
      <c r="B110" s="165" t="n"/>
      <c r="C110" s="123" t="n"/>
      <c r="D110" s="165" t="n"/>
      <c r="E110" s="165" t="n"/>
      <c r="F110" s="165" t="n"/>
      <c r="G110" s="165" t="n"/>
      <c r="H110" s="165" t="n"/>
      <c r="I110" s="212" t="n"/>
      <c r="J110" s="121" t="n"/>
      <c r="K110" s="165" t="n"/>
      <c r="L110" s="165" t="n"/>
      <c r="M110" s="165" t="n"/>
      <c r="N110" s="165" t="n"/>
      <c r="O110" s="165" t="n"/>
    </row>
    <row r="111" ht="15.6" customFormat="1" customHeight="1" s="60">
      <c r="A111" s="165" t="n"/>
      <c r="B111" s="165" t="n"/>
      <c r="C111" s="123" t="n"/>
      <c r="D111" s="165" t="n"/>
      <c r="E111" s="165" t="n"/>
      <c r="F111" s="165" t="n"/>
      <c r="G111" s="165" t="n"/>
      <c r="H111" s="165" t="n"/>
      <c r="I111" s="212" t="n"/>
      <c r="J111" s="7" t="n"/>
      <c r="K111" s="165" t="n"/>
      <c r="L111" s="165" t="n"/>
      <c r="M111" s="165" t="n"/>
      <c r="N111" s="165" t="n"/>
      <c r="O111" s="165" t="n"/>
    </row>
    <row r="112" customFormat="1" s="60">
      <c r="A112" s="165" t="n"/>
      <c r="B112" s="165" t="n"/>
      <c r="C112" s="7" t="n"/>
      <c r="D112" s="165" t="n"/>
      <c r="E112" s="165" t="n"/>
      <c r="F112" s="165" t="n"/>
      <c r="G112" s="165" t="n"/>
      <c r="H112" s="165" t="n"/>
      <c r="I112" s="212" t="n"/>
      <c r="J112" s="7" t="n"/>
      <c r="K112" s="165" t="n"/>
      <c r="L112" s="165" t="n"/>
      <c r="M112" s="165" t="n"/>
      <c r="N112" s="165" t="n"/>
      <c r="O112" s="165" t="n"/>
    </row>
    <row r="113" customFormat="1" s="60">
      <c r="A113" s="165" t="n"/>
      <c r="B113" s="165" t="n"/>
      <c r="C113" s="7" t="n"/>
      <c r="D113" s="165" t="n"/>
      <c r="E113" s="165" t="n"/>
      <c r="F113" s="165" t="n"/>
      <c r="G113" s="165" t="n"/>
      <c r="H113" s="165" t="n"/>
      <c r="I113" s="212" t="n"/>
      <c r="J113" s="7" t="n"/>
      <c r="K113" s="165" t="n"/>
      <c r="L113" s="165" t="n"/>
      <c r="M113" s="165" t="n"/>
      <c r="N113" s="165" t="n"/>
      <c r="O113" s="165" t="n"/>
    </row>
    <row r="114" customFormat="1" s="60">
      <c r="A114" s="165" t="n"/>
      <c r="B114" s="165" t="n"/>
      <c r="C114" s="7" t="n"/>
      <c r="D114" s="165" t="n"/>
      <c r="E114" s="165" t="n"/>
      <c r="F114" s="165" t="n"/>
      <c r="G114" s="165" t="n"/>
      <c r="H114" s="165" t="n"/>
      <c r="I114" s="212" t="n"/>
      <c r="J114" s="7" t="n"/>
      <c r="K114" s="165" t="n"/>
      <c r="L114" s="165" t="n"/>
      <c r="M114" s="165" t="n"/>
      <c r="N114" s="165" t="n"/>
      <c r="O114" s="165" t="n"/>
    </row>
    <row r="115" customFormat="1" s="60">
      <c r="A115" s="165" t="n"/>
      <c r="B115" s="165" t="n"/>
      <c r="C115" s="7" t="n"/>
      <c r="D115" s="165" t="n"/>
      <c r="E115" s="165" t="n"/>
      <c r="F115" s="165" t="n"/>
      <c r="G115" s="165" t="n"/>
      <c r="H115" s="165" t="n"/>
      <c r="I115" s="212" t="n"/>
      <c r="J115" s="7" t="n"/>
      <c r="K115" s="165" t="n"/>
      <c r="L115" s="165" t="n"/>
      <c r="M115" s="165" t="n"/>
      <c r="N115" s="165" t="n"/>
      <c r="O115" s="165" t="n"/>
    </row>
    <row r="116" customFormat="1" s="60">
      <c r="A116" s="165" t="n"/>
      <c r="B116" s="165" t="n"/>
      <c r="C116" s="7" t="n"/>
      <c r="D116" s="165" t="n"/>
      <c r="E116" s="165" t="n"/>
      <c r="F116" s="165" t="n"/>
      <c r="G116" s="165" t="n"/>
      <c r="H116" s="165" t="n"/>
      <c r="I116" s="212" t="n"/>
      <c r="J116" s="7" t="n"/>
      <c r="K116" s="165" t="n"/>
      <c r="L116" s="165" t="n"/>
      <c r="M116" s="165" t="n"/>
      <c r="N116" s="165" t="n"/>
      <c r="O116" s="165" t="n"/>
    </row>
    <row r="117" customFormat="1" s="60">
      <c r="A117" s="165" t="n"/>
      <c r="B117" s="165" t="n"/>
      <c r="C117" s="7" t="n"/>
      <c r="D117" s="165" t="n"/>
      <c r="E117" s="165" t="n"/>
      <c r="F117" s="165" t="n"/>
      <c r="G117" s="165" t="n"/>
      <c r="H117" s="165" t="n"/>
      <c r="I117" s="212" t="n"/>
      <c r="J117" s="7" t="n"/>
      <c r="K117" s="165" t="n"/>
      <c r="L117" s="165" t="n"/>
      <c r="M117" s="165" t="n"/>
      <c r="N117" s="165" t="n"/>
      <c r="O117" s="165" t="n"/>
    </row>
    <row r="118" customFormat="1" s="60">
      <c r="A118" s="165" t="n"/>
      <c r="B118" s="165" t="n"/>
      <c r="C118" s="7" t="n"/>
      <c r="D118" s="165" t="n"/>
      <c r="E118" s="165" t="n"/>
      <c r="F118" s="165" t="n"/>
      <c r="G118" s="165" t="n"/>
      <c r="H118" s="165" t="n"/>
      <c r="I118" s="212" t="n"/>
      <c r="J118" s="7" t="n"/>
      <c r="K118" s="165" t="n"/>
      <c r="L118" s="165" t="n"/>
      <c r="M118" s="165" t="n"/>
      <c r="N118" s="165" t="n"/>
      <c r="O118" s="165" t="n"/>
    </row>
    <row r="119" customFormat="1" s="60">
      <c r="A119" s="165" t="n"/>
      <c r="B119" s="165" t="n"/>
      <c r="C119" s="7" t="n"/>
      <c r="D119" s="165" t="n"/>
      <c r="E119" s="165" t="n"/>
      <c r="F119" s="165" t="n"/>
      <c r="G119" s="165" t="n"/>
      <c r="H119" s="165" t="n"/>
      <c r="I119" s="212" t="n"/>
      <c r="J119" s="7" t="n"/>
      <c r="K119" s="165" t="n"/>
      <c r="L119" s="165" t="n"/>
      <c r="M119" s="165" t="n"/>
      <c r="N119" s="165" t="n"/>
      <c r="O119" s="165" t="n"/>
    </row>
    <row r="120" customFormat="1" s="60">
      <c r="A120" s="165" t="n"/>
      <c r="B120" s="165" t="n"/>
      <c r="C120" s="7" t="n"/>
      <c r="D120" s="165" t="n"/>
      <c r="E120" s="165" t="n"/>
      <c r="F120" s="165" t="n"/>
      <c r="G120" s="165" t="n"/>
      <c r="H120" s="165" t="n"/>
      <c r="I120" s="212" t="n"/>
      <c r="J120" s="7" t="n"/>
      <c r="K120" s="165" t="n"/>
      <c r="L120" s="165" t="n"/>
      <c r="M120" s="165" t="n"/>
      <c r="N120" s="165" t="n"/>
      <c r="O120" s="165" t="n"/>
    </row>
    <row r="121" customFormat="1" s="60">
      <c r="A121" s="165" t="n"/>
      <c r="B121" s="165" t="n"/>
      <c r="C121" s="7" t="n"/>
      <c r="D121" s="165" t="n"/>
      <c r="E121" s="165" t="n"/>
      <c r="F121" s="165" t="n"/>
      <c r="G121" s="165" t="n"/>
      <c r="H121" s="165" t="n"/>
      <c r="I121" s="212" t="n"/>
      <c r="J121" s="7" t="n"/>
      <c r="K121" s="165" t="n"/>
      <c r="L121" s="165" t="n"/>
      <c r="M121" s="165" t="n"/>
      <c r="N121" s="165" t="n"/>
      <c r="O121" s="165" t="n"/>
    </row>
    <row r="122" customFormat="1" s="60">
      <c r="A122" s="165" t="n"/>
      <c r="B122" s="165" t="n"/>
      <c r="C122" s="7" t="n"/>
      <c r="D122" s="165" t="n"/>
      <c r="E122" s="165" t="n"/>
      <c r="F122" s="165" t="n"/>
      <c r="G122" s="165" t="n"/>
      <c r="H122" s="165" t="n"/>
      <c r="I122" s="212" t="n"/>
      <c r="J122" s="7" t="n"/>
      <c r="K122" s="165" t="n"/>
      <c r="L122" s="165" t="n"/>
      <c r="M122" s="165" t="n"/>
      <c r="N122" s="165" t="n"/>
      <c r="O122" s="165" t="n"/>
    </row>
    <row r="123" customFormat="1" s="60">
      <c r="A123" s="165" t="n"/>
      <c r="B123" s="165" t="n"/>
      <c r="C123" s="7" t="n"/>
      <c r="D123" s="165" t="n"/>
      <c r="E123" s="165" t="n"/>
      <c r="F123" s="165" t="n"/>
      <c r="G123" s="165" t="n"/>
      <c r="H123" s="165" t="n"/>
      <c r="I123" s="212" t="n"/>
      <c r="J123" s="7" t="n"/>
      <c r="K123" s="165" t="n"/>
      <c r="L123" s="165" t="n"/>
      <c r="M123" s="165" t="n"/>
      <c r="N123" s="165" t="n"/>
      <c r="O123" s="165" t="n"/>
    </row>
    <row r="124" customFormat="1" s="60">
      <c r="A124" s="165" t="n"/>
      <c r="B124" s="165" t="n"/>
      <c r="C124" s="7" t="n"/>
      <c r="D124" s="165" t="n"/>
      <c r="E124" s="165" t="n"/>
      <c r="F124" s="165" t="n"/>
      <c r="G124" s="165" t="n"/>
      <c r="H124" s="165" t="n"/>
      <c r="I124" s="212" t="n"/>
      <c r="J124" s="7" t="n"/>
      <c r="K124" s="165" t="n"/>
      <c r="L124" s="165" t="n"/>
      <c r="M124" s="165" t="n"/>
      <c r="N124" s="165" t="n"/>
      <c r="O124" s="165" t="n"/>
    </row>
    <row r="125" customFormat="1" s="60">
      <c r="A125" s="165" t="n"/>
      <c r="B125" s="165" t="n"/>
      <c r="C125" s="7" t="n"/>
      <c r="D125" s="165" t="n"/>
      <c r="E125" s="165" t="n"/>
      <c r="F125" s="165" t="n"/>
      <c r="G125" s="165" t="n"/>
      <c r="H125" s="165" t="n"/>
      <c r="I125" s="212" t="n"/>
      <c r="J125" s="7" t="n"/>
      <c r="K125" s="165" t="n"/>
      <c r="L125" s="165" t="n"/>
      <c r="M125" s="165" t="n"/>
      <c r="N125" s="165" t="n"/>
      <c r="O125" s="165" t="n"/>
    </row>
    <row r="126" customFormat="1" s="60">
      <c r="A126" s="165" t="n"/>
      <c r="B126" s="165" t="n"/>
      <c r="C126" s="7" t="n"/>
      <c r="D126" s="165" t="n"/>
      <c r="E126" s="165" t="n"/>
      <c r="F126" s="165" t="n"/>
      <c r="G126" s="165" t="n"/>
      <c r="H126" s="165" t="n"/>
      <c r="I126" s="212" t="n"/>
      <c r="J126" s="7" t="n"/>
      <c r="K126" s="165" t="n"/>
      <c r="L126" s="165" t="n"/>
      <c r="M126" s="165" t="n"/>
      <c r="N126" s="165" t="n"/>
      <c r="O126" s="165" t="n"/>
    </row>
    <row r="127" customFormat="1" s="60">
      <c r="A127" s="165" t="n"/>
      <c r="B127" s="165" t="n"/>
      <c r="C127" s="7" t="n"/>
      <c r="D127" s="165" t="n"/>
      <c r="E127" s="165" t="n"/>
      <c r="F127" s="165" t="n"/>
      <c r="G127" s="165" t="n"/>
      <c r="H127" s="165" t="n"/>
      <c r="I127" s="212" t="n"/>
      <c r="J127" s="7" t="n"/>
      <c r="K127" s="165" t="n"/>
      <c r="L127" s="165" t="n"/>
      <c r="M127" s="165" t="n"/>
      <c r="N127" s="165" t="n"/>
      <c r="O127" s="165" t="n"/>
    </row>
    <row r="128" customFormat="1" s="60">
      <c r="A128" s="165" t="n"/>
      <c r="B128" s="165" t="n"/>
      <c r="C128" s="7" t="n"/>
      <c r="D128" s="165" t="n"/>
      <c r="E128" s="165" t="n"/>
      <c r="F128" s="165" t="n"/>
      <c r="G128" s="165" t="n"/>
      <c r="H128" s="165" t="n"/>
      <c r="I128" s="212" t="n"/>
      <c r="J128" s="7" t="n"/>
      <c r="K128" s="165" t="n"/>
      <c r="L128" s="165" t="n"/>
      <c r="M128" s="165" t="n"/>
      <c r="N128" s="165" t="n"/>
      <c r="O128" s="165" t="n"/>
    </row>
    <row r="129" customFormat="1" s="60">
      <c r="A129" s="165" t="n"/>
      <c r="B129" s="165" t="n"/>
      <c r="C129" s="7" t="n"/>
      <c r="D129" s="165" t="n"/>
      <c r="E129" s="165" t="n"/>
      <c r="F129" s="165" t="n"/>
      <c r="G129" s="165" t="n"/>
      <c r="H129" s="165" t="n"/>
      <c r="I129" s="212" t="n"/>
      <c r="J129" s="7" t="n"/>
      <c r="K129" s="165" t="n"/>
      <c r="L129" s="165" t="n"/>
      <c r="M129" s="165" t="n"/>
      <c r="N129" s="165" t="n"/>
      <c r="O129" s="165" t="n"/>
    </row>
    <row r="130" customFormat="1" s="60">
      <c r="A130" s="165" t="n"/>
      <c r="B130" s="165" t="n"/>
      <c r="C130" s="7" t="n"/>
      <c r="D130" s="165" t="n"/>
      <c r="E130" s="165" t="n"/>
      <c r="F130" s="165" t="n"/>
      <c r="G130" s="165" t="n"/>
      <c r="H130" s="165" t="n"/>
      <c r="I130" s="212" t="n"/>
      <c r="J130" s="7" t="n"/>
      <c r="K130" s="165" t="n"/>
      <c r="L130" s="165" t="n"/>
      <c r="M130" s="165" t="n"/>
      <c r="N130" s="165" t="n"/>
      <c r="O130" s="165" t="n"/>
    </row>
    <row r="131" customFormat="1" s="60">
      <c r="A131" s="165" t="n"/>
      <c r="B131" s="165" t="n"/>
      <c r="C131" s="7" t="n"/>
      <c r="D131" s="165" t="n"/>
      <c r="E131" s="165" t="n"/>
      <c r="F131" s="165" t="n"/>
      <c r="G131" s="165" t="n"/>
      <c r="H131" s="165" t="n"/>
      <c r="I131" s="212" t="n"/>
      <c r="J131" s="7" t="n"/>
      <c r="K131" s="165" t="n"/>
      <c r="L131" s="165" t="n"/>
      <c r="M131" s="165" t="n"/>
      <c r="N131" s="165" t="n"/>
      <c r="O131" s="165" t="n"/>
    </row>
    <row r="1046615">
      <c r="J1046615" s="100" t="n"/>
    </row>
    <row r="1047792">
      <c r="M1047792" t="inlineStr">
        <is>
          <t>42 hh : 50 mm</t>
        </is>
      </c>
      <c r="N1047792" t="n">
        <v>2570</v>
      </c>
      <c r="O1047792" t="n">
        <v>42.83</v>
      </c>
    </row>
    <row r="1047807">
      <c r="H1047807" s="20" t="n">
        <v>43065.75694444445</v>
      </c>
    </row>
  </sheetData>
  <autoFilter ref="B2:O39"/>
  <mergeCells count="1">
    <mergeCell ref="A1:O1"/>
  </mergeCells>
  <dataValidations count="1">
    <dataValidation sqref="J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8.xml><?xml version="1.0" encoding="utf-8"?>
<worksheet xmlns="http://schemas.openxmlformats.org/spreadsheetml/2006/main">
  <sheetPr>
    <outlinePr summaryBelow="1" summaryRight="1"/>
    <pageSetUpPr/>
  </sheetPr>
  <dimension ref="A1:M1047805"/>
  <sheetViews>
    <sheetView zoomScaleNormal="100" workbookViewId="0">
      <pane ySplit="2" topLeftCell="A3" activePane="bottomLeft" state="frozen"/>
      <selection pane="bottomLeft" activeCell="C8" sqref="C8"/>
    </sheetView>
  </sheetViews>
  <sheetFormatPr baseColWidth="8" defaultColWidth="0" defaultRowHeight="14.45"/>
  <cols>
    <col width="5.7109375" bestFit="1" customWidth="1" min="1" max="1"/>
    <col width="44.85546875" bestFit="1" customWidth="1" style="213" min="2" max="2"/>
    <col width="40" bestFit="1" customWidth="1" style="7" min="3" max="3"/>
    <col width="23.85546875" bestFit="1" customWidth="1" min="4" max="4"/>
    <col width="15.28515625" customWidth="1" style="213" min="5" max="5"/>
    <col width="30.5703125" bestFit="1" customWidth="1" min="6" max="6"/>
    <col width="32.28515625" customWidth="1" style="213" min="7" max="7"/>
    <col width="20.140625" customWidth="1" style="7" min="8" max="8"/>
    <col width="55.42578125" customWidth="1" min="9" max="9"/>
    <col width="21" bestFit="1" customWidth="1" min="10" max="10"/>
    <col width="20" bestFit="1" customWidth="1" min="11" max="11"/>
    <col width="14.5703125" bestFit="1" customWidth="1" min="12" max="12"/>
    <col width="16.7109375" bestFit="1" customWidth="1" min="13" max="13"/>
    <col width="4.5703125" customWidth="1" min="14" max="14"/>
    <col hidden="1" width="11.42578125" customWidth="1" min="15" max="17"/>
    <col hidden="1" min="18" max="19"/>
    <col hidden="1" width="11.42578125" customWidth="1" min="20" max="16384"/>
  </cols>
  <sheetData>
    <row r="1" ht="36" customFormat="1" customHeight="1" s="167" thickBot="1">
      <c r="A1" s="319" t="inlineStr">
        <is>
          <t>Planilla Control de Eventos Portales S@MI</t>
        </is>
      </c>
      <c r="B1" s="359" t="n"/>
      <c r="C1" s="359" t="n"/>
      <c r="D1" s="359" t="n"/>
      <c r="E1" s="359" t="n"/>
      <c r="F1" s="359" t="n"/>
      <c r="G1" s="359" t="n"/>
      <c r="H1" s="359" t="n"/>
      <c r="I1" s="359" t="n"/>
      <c r="J1" s="359" t="n"/>
      <c r="K1" s="359" t="n"/>
      <c r="L1" s="359" t="n"/>
      <c r="M1" s="359" t="n"/>
    </row>
    <row r="2" ht="42.75" customFormat="1" customHeight="1" s="161" thickTop="1">
      <c r="A2" s="214" t="inlineStr">
        <is>
          <t>Item</t>
        </is>
      </c>
      <c r="B2" s="120" t="inlineStr">
        <is>
          <t>Dispositivo</t>
        </is>
      </c>
      <c r="C2" s="120" t="inlineStr">
        <is>
          <t>Analista</t>
        </is>
      </c>
      <c r="D2" s="120" t="inlineStr">
        <is>
          <t>Numero de Ticket</t>
        </is>
      </c>
      <c r="E2" s="120" t="inlineStr">
        <is>
          <t>Descripcion del Evento</t>
        </is>
      </c>
      <c r="F2" s="120" t="inlineStr">
        <is>
          <t xml:space="preserve">Fecha/Hora Inicio Evento </t>
        </is>
      </c>
      <c r="G2" s="120" t="inlineStr">
        <is>
          <t>Causa</t>
        </is>
      </c>
      <c r="H2" s="120" t="inlineStr">
        <is>
          <t>Areas Involucradas</t>
        </is>
      </c>
      <c r="I2" s="120" t="inlineStr">
        <is>
          <t>Solucion</t>
        </is>
      </c>
      <c r="J2" s="120" t="inlineStr">
        <is>
          <t xml:space="preserve">Fecha/Hora Fin Evento </t>
        </is>
      </c>
      <c r="K2" s="120" t="inlineStr">
        <is>
          <t>Tiempo Total</t>
        </is>
      </c>
      <c r="L2" s="120" t="inlineStr">
        <is>
          <t>Tiempo Minutos</t>
        </is>
      </c>
      <c r="M2" s="120" t="inlineStr">
        <is>
          <t>Tiempo en Horas</t>
        </is>
      </c>
    </row>
    <row r="3" ht="15" customFormat="1" customHeight="1" s="218">
      <c r="A3" s="197" t="n">
        <v>1</v>
      </c>
      <c r="B3" s="260" t="inlineStr">
        <is>
          <t>https://10.1.220.169/mercurio/index.jsp</t>
        </is>
      </c>
      <c r="C3" s="123" t="inlineStr">
        <is>
          <t>Carlos Andrés Botero Ríos / 14:00 - 22:00</t>
        </is>
      </c>
      <c r="D3" s="236" t="inlineStr">
        <is>
          <t>IM-13297-6-2184</t>
        </is>
      </c>
      <c r="E3" s="217" t="n"/>
      <c r="F3" s="235" t="n">
        <v>46217.55555555555</v>
      </c>
      <c r="G3" s="271" t="inlineStr">
        <is>
          <t>Suspendido</t>
        </is>
      </c>
      <c r="H3" s="121" t="inlineStr">
        <is>
          <t>APLICACIONES</t>
        </is>
      </c>
      <c r="I3" s="217" t="inlineStr">
        <is>
          <t>Al entrar al servidor a revisar, se identifica que el nodo de trabajo ya no existe lo que ocasiona la falla reportada: Solicitamos la información de las modificaciones que haya hecho el proveedor durante los escritorios remotos para poder documentar el incidente y de ser necesario eliminar la regla de monitoreo. Se recibe la siguiente respuesta del cliente: En la plataforma actual de Mercurio, se cuenta con un nodo el 169, el cual se retiró del balanceador, debido a que este se dedicará solo al robot que la empresa Servisoft desarrollo en Mercurio para la Subsecretaría de Catastro, razón por la cual cuando se reinicie Mercurio, este nodo no se debe reiniciar, ya que dejaríamos sin operación los  procesos de resoluciones de servicio y motivadas de la Subsecretaría de Catastro. NOTA: Disponibilidad fuera del alcance de la mesa</t>
        </is>
      </c>
      <c r="J3" s="235" t="n"/>
      <c r="K3" s="216">
        <f>J3-F3</f>
        <v/>
      </c>
      <c r="L3" s="153">
        <f>K3*24*60</f>
        <v/>
      </c>
      <c r="M3" s="153">
        <f>K3*24</f>
        <v/>
      </c>
    </row>
    <row r="4" ht="15" customFormat="1" customHeight="1" s="218">
      <c r="A4" s="197" t="n">
        <v>2</v>
      </c>
      <c r="B4" s="259" t="n"/>
      <c r="C4" s="123" t="n"/>
      <c r="D4" s="237" t="n"/>
      <c r="E4" s="217" t="n"/>
      <c r="F4" s="235" t="n"/>
      <c r="G4" s="217" t="n"/>
      <c r="H4" s="121" t="n"/>
      <c r="I4" s="173" t="n"/>
      <c r="J4" s="235" t="n"/>
      <c r="K4" s="216">
        <f>J4-F4</f>
        <v/>
      </c>
      <c r="L4" s="153">
        <f>K4*24*60</f>
        <v/>
      </c>
      <c r="M4" s="153">
        <f>K4*24</f>
        <v/>
      </c>
    </row>
    <row r="5" ht="15" customFormat="1" customHeight="1" s="218">
      <c r="A5" s="197" t="n">
        <v>3</v>
      </c>
      <c r="B5" s="2" t="n"/>
      <c r="C5" s="123" t="n"/>
      <c r="D5" s="236" t="n"/>
      <c r="E5" s="217" t="n"/>
      <c r="F5" s="235" t="n"/>
      <c r="G5" s="217" t="n"/>
      <c r="H5" s="121" t="n"/>
      <c r="I5" s="255" t="n"/>
      <c r="J5" s="235" t="n"/>
      <c r="K5" s="216">
        <f>J5-F5</f>
        <v/>
      </c>
      <c r="L5" s="153">
        <f>K5*24*60</f>
        <v/>
      </c>
      <c r="M5" s="153">
        <f>K5*24</f>
        <v/>
      </c>
    </row>
    <row r="6" ht="15" customFormat="1" customHeight="1" s="218">
      <c r="A6" s="197" t="n">
        <v>4</v>
      </c>
      <c r="B6" s="260" t="n"/>
      <c r="C6" s="123" t="n"/>
      <c r="D6" s="236" t="n"/>
      <c r="E6" s="217" t="n"/>
      <c r="F6" s="235" t="n"/>
      <c r="G6" s="217" t="n"/>
      <c r="H6" s="121" t="n"/>
      <c r="I6" s="2" t="n"/>
      <c r="J6" s="235" t="n"/>
      <c r="K6" s="216">
        <f>J6-F6</f>
        <v/>
      </c>
      <c r="L6" s="153">
        <f>K6*24*60</f>
        <v/>
      </c>
      <c r="M6" s="153">
        <f>K6*24</f>
        <v/>
      </c>
    </row>
    <row r="7" ht="15" customFormat="1" customHeight="1" s="218">
      <c r="A7" s="197" t="n">
        <v>5</v>
      </c>
      <c r="B7" s="262" t="n"/>
      <c r="C7" s="123" t="n"/>
      <c r="D7" s="124" t="n"/>
      <c r="E7" s="217" t="n"/>
      <c r="F7" s="235" t="n"/>
      <c r="G7" s="217" t="n"/>
      <c r="H7" s="121" t="n"/>
      <c r="I7" s="264" t="n"/>
      <c r="J7" s="235" t="n"/>
      <c r="K7" s="216">
        <f>J5-F5</f>
        <v/>
      </c>
      <c r="L7" s="153">
        <f>K7*24*60</f>
        <v/>
      </c>
      <c r="M7" s="153">
        <f>K7*24</f>
        <v/>
      </c>
    </row>
    <row r="8" ht="15" customFormat="1" customHeight="1" s="218">
      <c r="A8" s="197" t="n">
        <v>6</v>
      </c>
      <c r="B8" s="262" t="n"/>
      <c r="C8" s="123" t="n"/>
      <c r="D8" s="124" t="n"/>
      <c r="E8" s="217" t="n"/>
      <c r="F8" s="263" t="n"/>
      <c r="G8" s="217" t="n"/>
      <c r="H8" s="121" t="n"/>
      <c r="I8" s="257" t="n"/>
      <c r="J8" s="263" t="n"/>
      <c r="K8" s="216">
        <f>J8-F8</f>
        <v/>
      </c>
      <c r="L8" s="153">
        <f>K8*24*60</f>
        <v/>
      </c>
      <c r="M8" s="153">
        <f>K8*24</f>
        <v/>
      </c>
    </row>
    <row r="9" ht="15" customFormat="1" customHeight="1" s="218">
      <c r="A9" s="197" t="n">
        <v>7</v>
      </c>
      <c r="B9" s="234" t="n"/>
      <c r="C9" s="123" t="n"/>
      <c r="D9" s="236" t="n"/>
      <c r="E9" s="217" t="n"/>
      <c r="F9" s="235" t="n"/>
      <c r="G9" s="217" t="n"/>
      <c r="H9" s="121" t="n"/>
      <c r="I9" s="2" t="n"/>
      <c r="J9" s="235" t="n"/>
      <c r="K9" s="216">
        <f>J9-F9</f>
        <v/>
      </c>
      <c r="L9" s="153">
        <f>K9*24*60</f>
        <v/>
      </c>
      <c r="M9" s="153">
        <f>K9*24</f>
        <v/>
      </c>
    </row>
    <row r="10" ht="14.25" customFormat="1" customHeight="1" s="218">
      <c r="A10" s="197" t="n">
        <v>8</v>
      </c>
      <c r="B10" s="265" t="n"/>
      <c r="C10" s="123" t="n"/>
      <c r="D10" s="121" t="n"/>
      <c r="E10" s="217" t="n"/>
      <c r="F10" s="235" t="n"/>
      <c r="G10" s="217" t="n"/>
      <c r="H10" s="121" t="n"/>
      <c r="I10" s="254" t="n"/>
      <c r="J10" s="235" t="n"/>
      <c r="K10" s="216">
        <f>J10-F10</f>
        <v/>
      </c>
      <c r="L10" s="153">
        <f>K10*24*60</f>
        <v/>
      </c>
      <c r="M10" s="153">
        <f>K10*24</f>
        <v/>
      </c>
    </row>
    <row r="11" ht="16.5" customFormat="1" customHeight="1" s="218">
      <c r="A11" s="197" t="n">
        <v>9</v>
      </c>
      <c r="B11" s="240" t="n"/>
      <c r="C11" s="123" t="n"/>
      <c r="D11" s="121" t="n"/>
      <c r="E11" s="217" t="n"/>
      <c r="F11" s="235" t="n"/>
      <c r="G11" s="217" t="n"/>
      <c r="H11" s="121" t="n"/>
      <c r="I11" s="254" t="n"/>
      <c r="J11" s="235" t="n"/>
      <c r="K11" s="216">
        <f>J11-F11</f>
        <v/>
      </c>
      <c r="L11" s="153">
        <f>K11*24*60</f>
        <v/>
      </c>
      <c r="M11" s="153">
        <f>K11*24</f>
        <v/>
      </c>
    </row>
    <row r="12" ht="16.5" customFormat="1" customHeight="1" s="218">
      <c r="A12" s="197" t="n">
        <v>10</v>
      </c>
      <c r="B12" s="240" t="n"/>
      <c r="C12" s="123" t="n"/>
      <c r="D12" s="121" t="n"/>
      <c r="E12" s="217" t="n"/>
      <c r="F12" s="235" t="n"/>
      <c r="G12" s="217" t="n"/>
      <c r="H12" s="121" t="n"/>
      <c r="I12" s="2" t="n"/>
      <c r="J12" s="235" t="n"/>
      <c r="K12" s="216">
        <f>J12-F12</f>
        <v/>
      </c>
      <c r="L12" s="153">
        <f>K12*24*60</f>
        <v/>
      </c>
      <c r="M12" s="153">
        <f>K12*24</f>
        <v/>
      </c>
    </row>
    <row r="13" ht="16.5" customFormat="1" customHeight="1" s="218">
      <c r="A13" s="197" t="n">
        <v>11</v>
      </c>
      <c r="B13" s="240" t="n"/>
      <c r="C13" s="123" t="n"/>
      <c r="D13" s="121" t="n"/>
      <c r="E13" s="217" t="n"/>
      <c r="F13" s="235" t="n"/>
      <c r="G13" s="217" t="n"/>
      <c r="H13" s="121" t="n"/>
      <c r="I13" s="2" t="n"/>
      <c r="J13" s="235" t="n"/>
      <c r="K13" s="216">
        <f>J13-F13</f>
        <v/>
      </c>
      <c r="L13" s="153">
        <f>K13*24*60</f>
        <v/>
      </c>
      <c r="M13" s="153">
        <f>K13*24</f>
        <v/>
      </c>
    </row>
    <row r="14" ht="17.25" customFormat="1" customHeight="1" s="218">
      <c r="A14" s="197" t="n">
        <v>12</v>
      </c>
      <c r="B14" s="240" t="n"/>
      <c r="C14" s="123" t="n"/>
      <c r="D14" s="171" t="n"/>
      <c r="E14" s="217" t="n"/>
      <c r="F14" s="224" t="n"/>
      <c r="H14" s="121" t="n"/>
      <c r="J14" s="224" t="n"/>
      <c r="K14" s="216">
        <f>J14-F14</f>
        <v/>
      </c>
      <c r="L14" s="152">
        <f>K14*24*60</f>
        <v/>
      </c>
      <c r="M14" s="153">
        <f>K14*24</f>
        <v/>
      </c>
    </row>
    <row r="15" ht="15.6" customFormat="1" customHeight="1" s="218">
      <c r="A15" s="197" t="n">
        <v>13</v>
      </c>
      <c r="B15" s="240" t="n"/>
      <c r="C15" s="123" t="n"/>
      <c r="D15" s="171" t="n"/>
      <c r="E15" s="217" t="n"/>
      <c r="F15" s="224" t="n"/>
      <c r="G15" s="215" t="n"/>
      <c r="H15" s="121" t="n"/>
      <c r="I15" s="215" t="n"/>
      <c r="J15" s="224" t="n"/>
      <c r="K15" s="216">
        <f>J15-F15</f>
        <v/>
      </c>
      <c r="L15" s="152">
        <f>K15*24*60</f>
        <v/>
      </c>
      <c r="M15" s="153">
        <f>K15*24</f>
        <v/>
      </c>
    </row>
    <row r="16" ht="15.6" customFormat="1" customHeight="1" s="218">
      <c r="A16" s="197" t="n">
        <v>14</v>
      </c>
      <c r="B16" s="240" t="n"/>
      <c r="C16" s="123" t="n"/>
      <c r="D16" s="171" t="n"/>
      <c r="E16" s="217" t="n"/>
      <c r="F16" s="224" t="n"/>
      <c r="G16" s="215" t="n"/>
      <c r="H16" s="121" t="n"/>
      <c r="I16" s="215" t="n"/>
      <c r="J16" s="224" t="n"/>
      <c r="K16" s="216">
        <f>J16-F16</f>
        <v/>
      </c>
      <c r="L16" s="152">
        <f>K16*24*60</f>
        <v/>
      </c>
      <c r="M16" s="153">
        <f>K16*24</f>
        <v/>
      </c>
    </row>
    <row r="17" ht="14.25" customFormat="1" customHeight="1" s="218">
      <c r="A17" s="197" t="n">
        <v>15</v>
      </c>
      <c r="B17" s="221" t="n"/>
      <c r="C17" s="123" t="n"/>
      <c r="D17" s="171" t="n"/>
      <c r="E17" s="217" t="n"/>
      <c r="F17" s="224" t="n"/>
      <c r="G17" s="215" t="n"/>
      <c r="H17" s="121" t="n"/>
      <c r="I17" s="215" t="n"/>
      <c r="J17" s="224" t="n"/>
      <c r="K17" s="216">
        <f>J17-F17</f>
        <v/>
      </c>
      <c r="L17" s="152">
        <f>K17*24*60</f>
        <v/>
      </c>
      <c r="M17" s="153">
        <f>K17*24</f>
        <v/>
      </c>
    </row>
    <row r="18" ht="14.25" customFormat="1" customHeight="1" s="225">
      <c r="A18" s="197" t="n">
        <v>16</v>
      </c>
      <c r="B18" s="123" t="n"/>
      <c r="C18" s="123" t="n"/>
      <c r="D18" s="121" t="n"/>
      <c r="E18" s="123" t="n"/>
      <c r="F18" s="220" t="n"/>
      <c r="G18" s="129" t="n"/>
      <c r="H18" s="121" t="n"/>
      <c r="I18" s="266" t="n"/>
      <c r="J18" s="224" t="n"/>
      <c r="K18" s="216">
        <f>J18-F18</f>
        <v/>
      </c>
      <c r="L18" s="152">
        <f>K18*24*60</f>
        <v/>
      </c>
      <c r="M18" s="153">
        <f>K18*24</f>
        <v/>
      </c>
    </row>
    <row r="19" ht="15" customFormat="1" customHeight="1" s="168">
      <c r="A19" s="197" t="n">
        <v>17</v>
      </c>
      <c r="B19" s="123" t="n"/>
      <c r="C19" s="123" t="n"/>
      <c r="D19" s="121" t="n"/>
      <c r="E19" s="123" t="n"/>
      <c r="F19" s="219" t="n"/>
      <c r="G19" s="222" t="n"/>
      <c r="H19" s="121" t="n"/>
      <c r="I19" s="170" t="n"/>
      <c r="J19" s="224" t="n"/>
      <c r="K19" s="216">
        <f>J19-F19</f>
        <v/>
      </c>
      <c r="L19" s="152">
        <f>K19*24*60</f>
        <v/>
      </c>
      <c r="M19" s="153">
        <f>K19*24</f>
        <v/>
      </c>
    </row>
    <row r="20" ht="15.6" customFormat="1" customHeight="1" s="218">
      <c r="A20" s="197" t="n">
        <v>18</v>
      </c>
      <c r="B20" s="221" t="n"/>
      <c r="C20" s="123" t="n"/>
      <c r="D20" s="171" t="n"/>
      <c r="E20" s="123" t="n"/>
      <c r="F20" s="220" t="n"/>
      <c r="G20" s="222" t="n"/>
      <c r="H20" s="121" t="n"/>
      <c r="I20" s="226" t="n"/>
      <c r="J20" s="224" t="n"/>
      <c r="K20" s="216">
        <f>J20-F20</f>
        <v/>
      </c>
      <c r="L20" s="152">
        <f>K20*24*60</f>
        <v/>
      </c>
      <c r="M20" s="153">
        <f>K20*24</f>
        <v/>
      </c>
    </row>
    <row r="21" ht="15.6" customFormat="1" customHeight="1" s="168">
      <c r="A21" s="197" t="n">
        <v>19</v>
      </c>
      <c r="B21" s="123" t="n"/>
      <c r="C21" s="123" t="n"/>
      <c r="D21" s="121" t="n"/>
      <c r="E21" s="123" t="n"/>
      <c r="F21" s="219" t="n"/>
      <c r="G21" s="222" t="n"/>
      <c r="H21" s="121" t="n"/>
      <c r="I21" s="226" t="n"/>
      <c r="J21" s="223" t="n"/>
      <c r="K21" s="216">
        <f>J21-F21</f>
        <v/>
      </c>
      <c r="L21" s="152">
        <f>K21*24*60</f>
        <v/>
      </c>
      <c r="M21" s="153">
        <f>K21*24</f>
        <v/>
      </c>
    </row>
    <row r="22" ht="15.6" customFormat="1" customHeight="1" s="168">
      <c r="A22" s="197" t="n">
        <v>20</v>
      </c>
      <c r="B22" s="123" t="n"/>
      <c r="C22" s="123" t="n"/>
      <c r="D22" s="121" t="n"/>
      <c r="E22" s="123" t="n"/>
      <c r="F22" s="219" t="n"/>
      <c r="G22" s="222" t="n"/>
      <c r="H22" s="121" t="n"/>
      <c r="I22" s="226" t="n"/>
      <c r="J22" s="223" t="n"/>
      <c r="K22" s="216">
        <f>J22-F22</f>
        <v/>
      </c>
      <c r="L22" s="152">
        <f>K22*24*60</f>
        <v/>
      </c>
      <c r="M22" s="153">
        <f>K22*24</f>
        <v/>
      </c>
    </row>
    <row r="23" ht="15.6" customFormat="1" customHeight="1" s="168">
      <c r="A23" s="197" t="n">
        <v>21</v>
      </c>
      <c r="B23" s="221" t="n"/>
      <c r="C23" s="123" t="n"/>
      <c r="D23" s="171" t="n"/>
      <c r="E23" s="123" t="n"/>
      <c r="F23" s="220" t="n"/>
      <c r="G23" s="222" t="n"/>
      <c r="H23" s="121" t="n"/>
      <c r="I23" s="226" t="n"/>
      <c r="J23" s="223" t="n"/>
      <c r="K23" s="216">
        <f>J23-F23</f>
        <v/>
      </c>
      <c r="L23" s="152">
        <f>K23*24*60</f>
        <v/>
      </c>
      <c r="M23" s="153">
        <f>K23*24</f>
        <v/>
      </c>
    </row>
    <row r="24" ht="15.6" customFormat="1" customHeight="1" s="168">
      <c r="A24" s="197" t="n">
        <v>22</v>
      </c>
      <c r="B24" s="221" t="n"/>
      <c r="C24" s="123" t="n"/>
      <c r="D24" s="121" t="n"/>
      <c r="E24" s="123" t="n"/>
      <c r="F24" s="220" t="n"/>
      <c r="G24" s="215" t="n"/>
      <c r="H24" s="121" t="n"/>
      <c r="I24" s="226" t="n"/>
      <c r="J24" s="224" t="n"/>
      <c r="K24" s="216">
        <f>J24-F24</f>
        <v/>
      </c>
      <c r="L24" s="152">
        <f>K24*24*60</f>
        <v/>
      </c>
      <c r="M24" s="153">
        <f>K24*24</f>
        <v/>
      </c>
    </row>
    <row r="25" ht="15.6" customFormat="1" customHeight="1" s="168">
      <c r="A25" s="197" t="n">
        <v>23</v>
      </c>
      <c r="B25" s="221" t="n"/>
      <c r="C25" s="123" t="n"/>
      <c r="D25" s="171" t="n"/>
      <c r="E25" s="123" t="n"/>
      <c r="F25" s="220" t="n"/>
      <c r="G25" s="215" t="n"/>
      <c r="H25" s="121" t="n"/>
      <c r="I25" s="226" t="n"/>
      <c r="J25" s="224" t="n"/>
      <c r="K25" s="216">
        <f>J25-F25</f>
        <v/>
      </c>
      <c r="L25" s="152">
        <f>K25*24*60</f>
        <v/>
      </c>
      <c r="M25" s="153">
        <f>K25*24</f>
        <v/>
      </c>
    </row>
    <row r="26" ht="15.6" customFormat="1" customHeight="1" s="168">
      <c r="A26" s="197" t="n">
        <v>24</v>
      </c>
      <c r="B26" s="221" t="n"/>
      <c r="C26" s="123" t="n"/>
      <c r="D26" s="171" t="n"/>
      <c r="E26" s="123" t="n"/>
      <c r="F26" s="220" t="n"/>
      <c r="G26" s="215" t="n"/>
      <c r="H26" s="121" t="n"/>
      <c r="I26" s="215" t="n"/>
      <c r="J26" s="224" t="n"/>
      <c r="K26" s="216">
        <f>J26-F26</f>
        <v/>
      </c>
      <c r="L26" s="152">
        <f>K26*24*60</f>
        <v/>
      </c>
      <c r="M26" s="153">
        <f>K26*24</f>
        <v/>
      </c>
    </row>
    <row r="27" ht="15.6" customFormat="1" customHeight="1" s="168">
      <c r="A27" s="197" t="n">
        <v>25</v>
      </c>
      <c r="B27" s="221" t="n"/>
      <c r="C27" s="123" t="n"/>
      <c r="D27" s="171" t="n"/>
      <c r="E27" s="123" t="n"/>
      <c r="F27" s="220" t="n"/>
      <c r="G27" s="215" t="n"/>
      <c r="H27" s="121" t="n"/>
      <c r="I27" s="215" t="n"/>
      <c r="J27" s="224" t="n"/>
      <c r="K27" s="216">
        <f>J27-F27</f>
        <v/>
      </c>
      <c r="L27" s="152">
        <f>K27*24*60</f>
        <v/>
      </c>
      <c r="M27" s="153">
        <f>K27*24</f>
        <v/>
      </c>
    </row>
    <row r="28" ht="15.6" customFormat="1" customHeight="1" s="168">
      <c r="A28" s="197" t="n">
        <v>26</v>
      </c>
      <c r="B28" s="221" t="n"/>
      <c r="C28" s="123" t="n"/>
      <c r="D28" s="171" t="n"/>
      <c r="E28" s="123" t="n"/>
      <c r="F28" s="220" t="n"/>
      <c r="G28" s="215" t="n"/>
      <c r="H28" s="121" t="n"/>
      <c r="I28" s="215" t="n"/>
      <c r="J28" s="224" t="n"/>
      <c r="K28" s="216">
        <f>J28-F28</f>
        <v/>
      </c>
      <c r="L28" s="152">
        <f>K28*24*60</f>
        <v/>
      </c>
      <c r="M28" s="153">
        <f>K28*24</f>
        <v/>
      </c>
    </row>
    <row r="29" ht="15.6" customFormat="1" customHeight="1" s="168">
      <c r="A29" s="197" t="n">
        <v>27</v>
      </c>
      <c r="B29" s="123" t="n"/>
      <c r="C29" s="123" t="n"/>
      <c r="D29" s="121" t="n"/>
      <c r="E29" s="123" t="n"/>
      <c r="F29" s="220" t="n"/>
      <c r="G29" s="215" t="n"/>
      <c r="H29" s="121" t="n"/>
      <c r="I29" s="215" t="n"/>
      <c r="J29" s="224" t="n"/>
      <c r="K29" s="216">
        <f>J29-F29</f>
        <v/>
      </c>
      <c r="L29" s="152">
        <f>K29*24*60</f>
        <v/>
      </c>
      <c r="M29" s="153">
        <f>K29*24</f>
        <v/>
      </c>
    </row>
    <row r="30" ht="15.6" customFormat="1" customHeight="1" s="168">
      <c r="A30" s="197" t="n">
        <v>28</v>
      </c>
      <c r="B30" s="123" t="n"/>
      <c r="C30" s="123" t="n"/>
      <c r="D30" s="121" t="n"/>
      <c r="E30" s="123" t="n"/>
      <c r="F30" s="220" t="n"/>
      <c r="G30" s="215" t="n"/>
      <c r="H30" s="121" t="n"/>
      <c r="I30" s="215" t="n"/>
      <c r="J30" s="224" t="n"/>
      <c r="K30" s="216">
        <f>J30-F30</f>
        <v/>
      </c>
      <c r="L30" s="152">
        <f>K30*24*60</f>
        <v/>
      </c>
      <c r="M30" s="153">
        <f>K30*24</f>
        <v/>
      </c>
    </row>
    <row r="31" ht="15.6" customFormat="1" customHeight="1" s="168">
      <c r="A31" s="197" t="n">
        <v>29</v>
      </c>
      <c r="B31" s="123" t="n"/>
      <c r="C31" s="123" t="n"/>
      <c r="D31" s="121" t="n"/>
      <c r="E31" s="123" t="n"/>
      <c r="F31" s="220" t="n"/>
      <c r="G31" s="215" t="n"/>
      <c r="H31" s="121" t="n"/>
      <c r="I31" s="215" t="n"/>
      <c r="J31" s="224" t="n"/>
      <c r="K31" s="216">
        <f>J31-F31</f>
        <v/>
      </c>
      <c r="L31" s="152">
        <f>K31*24*60</f>
        <v/>
      </c>
      <c r="M31" s="153">
        <f>K31*24</f>
        <v/>
      </c>
    </row>
    <row r="32" ht="15.6" customFormat="1" customHeight="1" s="168">
      <c r="A32" s="197" t="n">
        <v>30</v>
      </c>
      <c r="B32" s="123" t="n"/>
      <c r="C32" s="123" t="n"/>
      <c r="D32" s="121" t="n"/>
      <c r="E32" s="123" t="n"/>
      <c r="F32" s="220" t="n"/>
      <c r="G32" s="215" t="n"/>
      <c r="H32" s="121" t="n"/>
      <c r="I32" s="215" t="n"/>
      <c r="J32" s="224" t="n"/>
      <c r="K32" s="216">
        <f>J32-F32</f>
        <v/>
      </c>
      <c r="L32" s="152">
        <f>K32*24*60</f>
        <v/>
      </c>
      <c r="M32" s="153">
        <f>K32*24</f>
        <v/>
      </c>
    </row>
    <row r="33" ht="15.6" customFormat="1" customHeight="1" s="168">
      <c r="A33" s="197" t="n">
        <v>31</v>
      </c>
      <c r="B33" s="123" t="n"/>
      <c r="C33" s="123" t="n"/>
      <c r="D33" s="121" t="n"/>
      <c r="E33" s="123" t="n"/>
      <c r="F33" s="220" t="n"/>
      <c r="G33" s="215" t="n"/>
      <c r="H33" s="121" t="n"/>
      <c r="I33" s="215" t="n"/>
      <c r="J33" s="224" t="n"/>
      <c r="K33" s="216">
        <f>J33-F33</f>
        <v/>
      </c>
      <c r="L33" s="152">
        <f>K33*24*60</f>
        <v/>
      </c>
      <c r="M33" s="153">
        <f>K33*24</f>
        <v/>
      </c>
    </row>
    <row r="34" ht="15.6" customFormat="1" customHeight="1" s="168">
      <c r="A34" s="197" t="n">
        <v>32</v>
      </c>
      <c r="B34" s="227" t="n"/>
      <c r="C34" s="123" t="n"/>
      <c r="D34" s="228" t="n"/>
      <c r="E34" s="123" t="n"/>
      <c r="F34" s="220" t="n"/>
      <c r="G34" s="222" t="n"/>
      <c r="H34" s="121" t="n"/>
      <c r="I34" s="215" t="n"/>
      <c r="J34" s="224" t="n"/>
      <c r="K34" s="216">
        <f>J34-F34</f>
        <v/>
      </c>
      <c r="L34" s="152">
        <f>K34*24*60</f>
        <v/>
      </c>
      <c r="M34" s="153">
        <f>K34*24</f>
        <v/>
      </c>
    </row>
    <row r="35" ht="15.6" customFormat="1" customHeight="1" s="168">
      <c r="A35" s="197" t="n">
        <v>33</v>
      </c>
      <c r="B35" s="123" t="n"/>
      <c r="C35" s="123" t="n"/>
      <c r="D35" s="121" t="n"/>
      <c r="E35" s="123" t="n"/>
      <c r="F35" s="220" t="n"/>
      <c r="G35" s="222" t="n"/>
      <c r="H35" s="121" t="n"/>
      <c r="I35" s="215" t="n"/>
      <c r="J35" s="224" t="n"/>
      <c r="K35" s="216">
        <f>J35-F35</f>
        <v/>
      </c>
      <c r="L35" s="152">
        <f>K35*24*60</f>
        <v/>
      </c>
      <c r="M35" s="153">
        <f>K35*24</f>
        <v/>
      </c>
    </row>
    <row r="36" ht="15.6" customFormat="1" customHeight="1" s="168">
      <c r="A36" s="197" t="n">
        <v>34</v>
      </c>
      <c r="B36" s="123" t="n"/>
      <c r="C36" s="123" t="n"/>
      <c r="D36" s="121" t="n"/>
      <c r="E36" s="123" t="n"/>
      <c r="F36" s="220" t="n"/>
      <c r="G36" s="222" t="n"/>
      <c r="H36" s="121" t="n"/>
      <c r="I36" s="215" t="n"/>
      <c r="J36" s="224" t="n"/>
      <c r="K36" s="216">
        <f>J36-F36</f>
        <v/>
      </c>
      <c r="L36" s="152">
        <f>K36*24*60</f>
        <v/>
      </c>
      <c r="M36" s="153">
        <f>K36*24</f>
        <v/>
      </c>
    </row>
    <row r="37" ht="15.6" customFormat="1" customHeight="1" s="168">
      <c r="A37" s="197" t="n">
        <v>35</v>
      </c>
      <c r="B37" s="123" t="n"/>
      <c r="C37" s="123" t="n"/>
      <c r="D37" s="121" t="n"/>
      <c r="E37" s="221" t="n"/>
      <c r="F37" s="220" t="n"/>
      <c r="G37" s="229" t="n"/>
      <c r="H37" s="121" t="n"/>
      <c r="I37" s="215" t="n"/>
      <c r="J37" s="224" t="n"/>
      <c r="K37" s="216">
        <f>J37-F37</f>
        <v/>
      </c>
      <c r="L37" s="152">
        <f>K37*24*60</f>
        <v/>
      </c>
      <c r="M37" s="153">
        <f>K37*24</f>
        <v/>
      </c>
    </row>
    <row r="38" ht="15.6" customFormat="1" customHeight="1" s="168">
      <c r="A38" s="197" t="n">
        <v>36</v>
      </c>
      <c r="B38" s="150" t="n"/>
      <c r="C38" s="123" t="n"/>
      <c r="D38" s="170" t="n"/>
      <c r="E38" s="150" t="n"/>
      <c r="F38" s="150" t="n"/>
      <c r="G38" s="150" t="n"/>
      <c r="H38" s="121" t="n"/>
      <c r="I38" s="170" t="n"/>
      <c r="J38" s="139" t="n"/>
      <c r="K38" s="216">
        <f>J38-F38</f>
        <v/>
      </c>
      <c r="L38" s="152">
        <f>K38*24*60</f>
        <v/>
      </c>
      <c r="M38" s="153">
        <f>K38*24</f>
        <v/>
      </c>
    </row>
    <row r="39" ht="15.6" customFormat="1" customHeight="1" s="168">
      <c r="A39" s="197" t="n">
        <v>37</v>
      </c>
      <c r="B39" s="150" t="n"/>
      <c r="C39" s="123" t="n"/>
      <c r="D39" s="170" t="n"/>
      <c r="E39" s="150" t="n"/>
      <c r="F39" s="150" t="n"/>
      <c r="G39" s="150" t="n"/>
      <c r="H39" s="121" t="n"/>
      <c r="I39" s="170" t="n"/>
      <c r="J39" s="139" t="n"/>
      <c r="K39" s="216">
        <f>J39-F39</f>
        <v/>
      </c>
      <c r="L39" s="152">
        <f>K39*24*60</f>
        <v/>
      </c>
      <c r="M39" s="153">
        <f>K39*24</f>
        <v/>
      </c>
    </row>
    <row r="40" ht="15.6" customFormat="1" customHeight="1" s="168">
      <c r="A40" s="197" t="n">
        <v>38</v>
      </c>
      <c r="B40" s="150" t="n"/>
      <c r="C40" s="123" t="n"/>
      <c r="D40" s="170" t="n"/>
      <c r="E40" s="150" t="n"/>
      <c r="F40" s="150" t="n"/>
      <c r="G40" s="150" t="n"/>
      <c r="H40" s="121" t="n"/>
      <c r="I40" s="170" t="n"/>
      <c r="J40" s="139" t="n"/>
      <c r="K40" s="216">
        <f>J40-F40</f>
        <v/>
      </c>
      <c r="L40" s="152">
        <f>K40*24*60</f>
        <v/>
      </c>
      <c r="M40" s="153">
        <f>K40*24</f>
        <v/>
      </c>
    </row>
    <row r="41" ht="15.6" customFormat="1" customHeight="1" s="168">
      <c r="A41" s="197" t="n">
        <v>39</v>
      </c>
      <c r="B41" s="150" t="n"/>
      <c r="C41" s="123" t="n"/>
      <c r="D41" s="170" t="n"/>
      <c r="E41" s="150" t="n"/>
      <c r="F41" s="170" t="n"/>
      <c r="G41" s="150" t="n"/>
      <c r="H41" s="121" t="n"/>
      <c r="I41" s="170" t="n"/>
      <c r="J41" s="139" t="n"/>
      <c r="K41" s="216">
        <f>J41-F41</f>
        <v/>
      </c>
      <c r="L41" s="152">
        <f>K41*24*60</f>
        <v/>
      </c>
      <c r="M41" s="153">
        <f>K41*24</f>
        <v/>
      </c>
    </row>
    <row r="42" ht="15.6" customFormat="1" customHeight="1" s="168">
      <c r="A42" s="197" t="n">
        <v>40</v>
      </c>
      <c r="B42" s="150" t="n"/>
      <c r="C42" s="123" t="n"/>
      <c r="D42" s="170" t="n"/>
      <c r="E42" s="150" t="n"/>
      <c r="F42" s="170" t="n"/>
      <c r="G42" s="150" t="n"/>
      <c r="H42" s="121" t="n"/>
      <c r="I42" s="170" t="n"/>
      <c r="J42" s="139" t="n"/>
      <c r="K42" s="216">
        <f>J42-F42</f>
        <v/>
      </c>
      <c r="L42" s="152">
        <f>K42*24*60</f>
        <v/>
      </c>
      <c r="M42" s="153">
        <f>K42*24</f>
        <v/>
      </c>
    </row>
    <row r="43" ht="15.6" customFormat="1" customHeight="1" s="168">
      <c r="A43" s="197" t="n">
        <v>41</v>
      </c>
      <c r="B43" s="150" t="n"/>
      <c r="C43" s="123" t="n"/>
      <c r="D43" s="170" t="n"/>
      <c r="E43" s="150" t="n"/>
      <c r="F43" s="170" t="n"/>
      <c r="G43" s="150" t="n"/>
      <c r="H43" s="121" t="n"/>
      <c r="I43" s="170" t="n"/>
      <c r="J43" s="139" t="n"/>
      <c r="K43" s="216">
        <f>J43-F43</f>
        <v/>
      </c>
      <c r="L43" s="152">
        <f>K43*24*60</f>
        <v/>
      </c>
      <c r="M43" s="153">
        <f>K43*24</f>
        <v/>
      </c>
    </row>
    <row r="44" ht="15.6" customFormat="1" customHeight="1" s="168">
      <c r="A44" s="197" t="n">
        <v>42</v>
      </c>
      <c r="B44" s="150" t="n"/>
      <c r="C44" s="123" t="n"/>
      <c r="D44" s="170" t="n"/>
      <c r="E44" s="150" t="n"/>
      <c r="F44" s="170" t="n"/>
      <c r="G44" s="150" t="n"/>
      <c r="H44" s="121" t="n"/>
      <c r="I44" s="170" t="n"/>
      <c r="J44" s="139" t="n"/>
      <c r="K44" s="216">
        <f>J44-F44</f>
        <v/>
      </c>
      <c r="L44" s="152">
        <f>K44*24*60</f>
        <v/>
      </c>
      <c r="M44" s="153">
        <f>K44*24</f>
        <v/>
      </c>
    </row>
    <row r="45" ht="15.6" customFormat="1" customHeight="1" s="168">
      <c r="A45" s="197" t="n">
        <v>43</v>
      </c>
      <c r="B45" s="150" t="n"/>
      <c r="C45" s="123" t="n"/>
      <c r="D45" s="170" t="n"/>
      <c r="E45" s="150" t="n"/>
      <c r="F45" s="170" t="n"/>
      <c r="G45" s="150" t="n"/>
      <c r="H45" s="121" t="n"/>
      <c r="I45" s="170" t="n"/>
      <c r="J45" s="139" t="n"/>
      <c r="K45" s="216">
        <f>J45-F45</f>
        <v/>
      </c>
      <c r="L45" s="152">
        <f>K45*24*60</f>
        <v/>
      </c>
      <c r="M45" s="153">
        <f>K45*24</f>
        <v/>
      </c>
    </row>
    <row r="46" ht="15.6" customFormat="1" customHeight="1" s="168">
      <c r="A46" s="197" t="n">
        <v>44</v>
      </c>
      <c r="B46" s="150" t="n"/>
      <c r="C46" s="123" t="n"/>
      <c r="D46" s="170" t="n"/>
      <c r="E46" s="150" t="n"/>
      <c r="F46" s="170" t="n"/>
      <c r="G46" s="150" t="n"/>
      <c r="H46" s="121" t="n"/>
      <c r="I46" s="170" t="n"/>
      <c r="J46" s="170" t="n"/>
      <c r="K46" s="216">
        <f>J46-F46</f>
        <v/>
      </c>
      <c r="L46" s="152">
        <f>K46*24*60</f>
        <v/>
      </c>
      <c r="M46" s="153">
        <f>K46*24</f>
        <v/>
      </c>
    </row>
    <row r="47" ht="15.6" customFormat="1" customHeight="1" s="168">
      <c r="A47" s="197" t="n">
        <v>45</v>
      </c>
      <c r="B47" s="150" t="n"/>
      <c r="C47" s="123" t="n"/>
      <c r="D47" s="170" t="n"/>
      <c r="E47" s="150" t="n"/>
      <c r="F47" s="170" t="n"/>
      <c r="G47" s="150" t="n"/>
      <c r="H47" s="121" t="n"/>
      <c r="I47" s="170" t="n"/>
      <c r="J47" s="170" t="n"/>
      <c r="K47" s="216">
        <f>J47-F47</f>
        <v/>
      </c>
      <c r="L47" s="152">
        <f>K47*24*60</f>
        <v/>
      </c>
      <c r="M47" s="153">
        <f>K47*24</f>
        <v/>
      </c>
    </row>
    <row r="48" ht="15.6" customFormat="1" customHeight="1" s="168">
      <c r="A48" s="197" t="n">
        <v>46</v>
      </c>
      <c r="B48" s="150" t="n"/>
      <c r="C48" s="123" t="n"/>
      <c r="D48" s="170" t="n"/>
      <c r="E48" s="150" t="n"/>
      <c r="F48" s="170" t="n"/>
      <c r="G48" s="150" t="n"/>
      <c r="H48" s="121" t="n"/>
      <c r="I48" s="170" t="n"/>
      <c r="J48" s="170" t="n"/>
      <c r="K48" s="216">
        <f>J48-F48</f>
        <v/>
      </c>
      <c r="L48" s="152">
        <f>K48*24*60</f>
        <v/>
      </c>
      <c r="M48" s="153">
        <f>K48*24</f>
        <v/>
      </c>
    </row>
    <row r="49" ht="15.6" customFormat="1" customHeight="1" s="168">
      <c r="A49" s="197" t="n">
        <v>47</v>
      </c>
      <c r="B49" s="150" t="n"/>
      <c r="C49" s="123" t="n"/>
      <c r="D49" s="170" t="n"/>
      <c r="E49" s="150" t="n"/>
      <c r="F49" s="170" t="n"/>
      <c r="G49" s="150" t="n"/>
      <c r="H49" s="121" t="n"/>
      <c r="I49" s="170" t="n"/>
      <c r="J49" s="170" t="n"/>
      <c r="K49" s="216">
        <f>J49-F49</f>
        <v/>
      </c>
      <c r="L49" s="152">
        <f>K49*24*60</f>
        <v/>
      </c>
      <c r="M49" s="153">
        <f>K49*24</f>
        <v/>
      </c>
    </row>
    <row r="50" ht="15.6" customFormat="1" customHeight="1" s="168">
      <c r="A50" s="197" t="n">
        <v>48</v>
      </c>
      <c r="B50" s="150" t="n"/>
      <c r="C50" s="123" t="n"/>
      <c r="D50" s="170" t="n"/>
      <c r="E50" s="150" t="n"/>
      <c r="F50" s="170" t="n"/>
      <c r="G50" s="150" t="n"/>
      <c r="H50" s="121" t="n"/>
      <c r="I50" s="170" t="n"/>
      <c r="J50" s="170" t="n"/>
      <c r="K50" s="216">
        <f>J50-F50</f>
        <v/>
      </c>
      <c r="L50" s="152">
        <f>K50*24*60</f>
        <v/>
      </c>
      <c r="M50" s="153">
        <f>K50*24</f>
        <v/>
      </c>
    </row>
    <row r="51" ht="15.6" customFormat="1" customHeight="1" s="168">
      <c r="A51" s="197" t="n">
        <v>49</v>
      </c>
      <c r="B51" s="150" t="n"/>
      <c r="C51" s="123" t="n"/>
      <c r="D51" s="170" t="n"/>
      <c r="E51" s="150" t="n"/>
      <c r="F51" s="170" t="n"/>
      <c r="G51" s="150" t="n"/>
      <c r="H51" s="121" t="n"/>
      <c r="I51" s="170" t="n"/>
      <c r="J51" s="170" t="n"/>
      <c r="K51" s="216">
        <f>J51-F51</f>
        <v/>
      </c>
      <c r="L51" s="152">
        <f>K51*24*60</f>
        <v/>
      </c>
      <c r="M51" s="153">
        <f>K51*24</f>
        <v/>
      </c>
    </row>
    <row r="52" ht="15.6" customFormat="1" customHeight="1" s="168">
      <c r="A52" s="197" t="n">
        <v>50</v>
      </c>
      <c r="B52" s="150" t="n"/>
      <c r="C52" s="123" t="n"/>
      <c r="D52" s="170" t="n"/>
      <c r="E52" s="150" t="n"/>
      <c r="F52" s="170" t="n"/>
      <c r="G52" s="150" t="n"/>
      <c r="H52" s="121" t="n"/>
      <c r="I52" s="170" t="n"/>
      <c r="J52" s="170" t="n"/>
      <c r="K52" s="216">
        <f>J52-F52</f>
        <v/>
      </c>
      <c r="L52" s="152">
        <f>K52*24*60</f>
        <v/>
      </c>
      <c r="M52" s="153">
        <f>K52*24</f>
        <v/>
      </c>
    </row>
    <row r="53" ht="15.6" customFormat="1" customHeight="1" s="168">
      <c r="A53" s="197" t="n">
        <v>51</v>
      </c>
      <c r="B53" s="150" t="n"/>
      <c r="C53" s="123" t="n"/>
      <c r="D53" s="170" t="n"/>
      <c r="E53" s="150" t="n"/>
      <c r="F53" s="170" t="n"/>
      <c r="G53" s="150" t="n"/>
      <c r="H53" s="121" t="n"/>
      <c r="I53" s="170" t="n"/>
      <c r="J53" s="170" t="n"/>
      <c r="K53" s="216">
        <f>J53-F53</f>
        <v/>
      </c>
      <c r="L53" s="152">
        <f>K53*24*60</f>
        <v/>
      </c>
      <c r="M53" s="153">
        <f>K53*24</f>
        <v/>
      </c>
    </row>
    <row r="54" ht="15.6" customFormat="1" customHeight="1" s="168">
      <c r="A54" s="197" t="n">
        <v>52</v>
      </c>
      <c r="B54" s="150" t="n"/>
      <c r="C54" s="123" t="n"/>
      <c r="D54" s="170" t="n"/>
      <c r="E54" s="150" t="n"/>
      <c r="F54" s="170" t="n"/>
      <c r="G54" s="150" t="n"/>
      <c r="H54" s="121" t="n"/>
      <c r="I54" s="170" t="n"/>
      <c r="J54" s="170" t="n"/>
      <c r="K54" s="216">
        <f>J54-F54</f>
        <v/>
      </c>
      <c r="L54" s="152">
        <f>K54*24*60</f>
        <v/>
      </c>
      <c r="M54" s="153">
        <f>K54*24</f>
        <v/>
      </c>
    </row>
    <row r="55" ht="15.6" customFormat="1" customHeight="1" s="168">
      <c r="A55" s="197" t="n">
        <v>53</v>
      </c>
      <c r="B55" s="150" t="n"/>
      <c r="C55" s="123" t="n"/>
      <c r="D55" s="170" t="n"/>
      <c r="E55" s="150" t="n"/>
      <c r="F55" s="170" t="n"/>
      <c r="G55" s="150" t="n"/>
      <c r="H55" s="121" t="n"/>
      <c r="I55" s="170" t="n"/>
      <c r="J55" s="170" t="n"/>
      <c r="K55" s="216">
        <f>J55-F55</f>
        <v/>
      </c>
      <c r="L55" s="152">
        <f>K55*24*60</f>
        <v/>
      </c>
      <c r="M55" s="153">
        <f>K55*24</f>
        <v/>
      </c>
    </row>
    <row r="56" ht="15.6" customFormat="1" customHeight="1" s="168">
      <c r="A56" s="197" t="n">
        <v>54</v>
      </c>
      <c r="B56" s="150" t="n"/>
      <c r="C56" s="123" t="n"/>
      <c r="D56" s="170" t="n"/>
      <c r="E56" s="150" t="n"/>
      <c r="F56" s="170" t="n"/>
      <c r="G56" s="150" t="n"/>
      <c r="H56" s="121" t="n"/>
      <c r="I56" s="170" t="n"/>
      <c r="J56" s="170" t="n"/>
      <c r="K56" s="216">
        <f>J56-F56</f>
        <v/>
      </c>
      <c r="L56" s="152">
        <f>K56*24*60</f>
        <v/>
      </c>
      <c r="M56" s="153">
        <f>K56*24</f>
        <v/>
      </c>
    </row>
    <row r="57" ht="15.6" customFormat="1" customHeight="1" s="168">
      <c r="A57" s="197" t="n">
        <v>55</v>
      </c>
      <c r="B57" s="150" t="n"/>
      <c r="C57" s="123" t="n"/>
      <c r="D57" s="170" t="n"/>
      <c r="E57" s="150" t="n"/>
      <c r="F57" s="170" t="n"/>
      <c r="G57" s="150" t="n"/>
      <c r="H57" s="121" t="n"/>
      <c r="I57" s="170" t="n"/>
      <c r="J57" s="170" t="n"/>
      <c r="K57" s="216">
        <f>J57-F57</f>
        <v/>
      </c>
      <c r="L57" s="152">
        <f>K57*24*60</f>
        <v/>
      </c>
      <c r="M57" s="153">
        <f>K57*24</f>
        <v/>
      </c>
    </row>
    <row r="58" ht="15.6" customFormat="1" customHeight="1" s="168">
      <c r="A58" s="197" t="n">
        <v>56</v>
      </c>
      <c r="B58" s="150" t="n"/>
      <c r="C58" s="123" t="n"/>
      <c r="D58" s="170" t="n"/>
      <c r="E58" s="150" t="n"/>
      <c r="F58" s="170" t="n"/>
      <c r="G58" s="150" t="n"/>
      <c r="H58" s="121" t="n"/>
      <c r="I58" s="170" t="n"/>
      <c r="J58" s="170" t="n"/>
      <c r="K58" s="216">
        <f>J58-F58</f>
        <v/>
      </c>
      <c r="L58" s="152">
        <f>K58*24*60</f>
        <v/>
      </c>
      <c r="M58" s="153">
        <f>K58*24</f>
        <v/>
      </c>
    </row>
    <row r="59" ht="15.6" customFormat="1" customHeight="1" s="168">
      <c r="A59" s="197" t="n">
        <v>57</v>
      </c>
      <c r="B59" s="150" t="n"/>
      <c r="C59" s="123" t="n"/>
      <c r="D59" s="170" t="n"/>
      <c r="E59" s="150" t="n"/>
      <c r="F59" s="170" t="n"/>
      <c r="G59" s="150" t="n"/>
      <c r="H59" s="121" t="n"/>
      <c r="I59" s="170" t="n"/>
      <c r="J59" s="170" t="n"/>
      <c r="K59" s="216">
        <f>J59-F59</f>
        <v/>
      </c>
      <c r="L59" s="152">
        <f>K59*24*60</f>
        <v/>
      </c>
      <c r="M59" s="153">
        <f>K59*24</f>
        <v/>
      </c>
    </row>
    <row r="60" ht="15.6" customFormat="1" customHeight="1" s="168">
      <c r="A60" s="197" t="n">
        <v>58</v>
      </c>
      <c r="B60" s="150" t="n"/>
      <c r="C60" s="123" t="n"/>
      <c r="D60" s="170" t="n"/>
      <c r="E60" s="150" t="n"/>
      <c r="F60" s="170" t="n"/>
      <c r="G60" s="150" t="n"/>
      <c r="H60" s="121" t="n"/>
      <c r="I60" s="170" t="n"/>
      <c r="J60" s="170" t="n"/>
      <c r="K60" s="216">
        <f>J60-F60</f>
        <v/>
      </c>
      <c r="L60" s="152">
        <f>K60*24*60</f>
        <v/>
      </c>
      <c r="M60" s="153">
        <f>K60*24</f>
        <v/>
      </c>
    </row>
    <row r="61" ht="15.6" customFormat="1" customHeight="1" s="168">
      <c r="A61" s="197" t="n">
        <v>59</v>
      </c>
      <c r="B61" s="150" t="n"/>
      <c r="C61" s="123" t="n"/>
      <c r="D61" s="170" t="n"/>
      <c r="E61" s="150" t="n"/>
      <c r="F61" s="170" t="n"/>
      <c r="G61" s="150" t="n"/>
      <c r="H61" s="121" t="n"/>
      <c r="I61" s="170" t="n"/>
      <c r="J61" s="170" t="n"/>
      <c r="K61" s="216">
        <f>J61-F61</f>
        <v/>
      </c>
      <c r="L61" s="152">
        <f>K61*24*60</f>
        <v/>
      </c>
      <c r="M61" s="153">
        <f>K61*24</f>
        <v/>
      </c>
    </row>
    <row r="62" ht="15.6" customFormat="1" customHeight="1" s="168">
      <c r="A62" s="197" t="n">
        <v>60</v>
      </c>
      <c r="B62" s="150" t="n"/>
      <c r="C62" s="123" t="n"/>
      <c r="D62" s="170" t="n"/>
      <c r="E62" s="150" t="n"/>
      <c r="F62" s="170" t="n"/>
      <c r="G62" s="150" t="n"/>
      <c r="H62" s="121" t="n"/>
      <c r="I62" s="170" t="n"/>
      <c r="J62" s="170" t="n"/>
      <c r="K62" s="216">
        <f>J62-F62</f>
        <v/>
      </c>
      <c r="L62" s="152">
        <f>K62*24*60</f>
        <v/>
      </c>
      <c r="M62" s="153">
        <f>K62*24</f>
        <v/>
      </c>
    </row>
    <row r="63" ht="15.6" customFormat="1" customHeight="1" s="168">
      <c r="A63" s="197" t="n">
        <v>61</v>
      </c>
      <c r="B63" s="150" t="n"/>
      <c r="C63" s="123" t="n"/>
      <c r="D63" s="170" t="n"/>
      <c r="E63" s="150" t="n"/>
      <c r="F63" s="170" t="n"/>
      <c r="G63" s="150" t="n"/>
      <c r="H63" s="121" t="n"/>
      <c r="I63" s="170" t="n"/>
      <c r="J63" s="170" t="n"/>
      <c r="K63" s="216">
        <f>J63-F63</f>
        <v/>
      </c>
      <c r="L63" s="152">
        <f>K63*24*60</f>
        <v/>
      </c>
      <c r="M63" s="153">
        <f>K63*24</f>
        <v/>
      </c>
    </row>
    <row r="64" ht="15.6" customFormat="1" customHeight="1" s="168">
      <c r="A64" s="197" t="n">
        <v>62</v>
      </c>
      <c r="B64" s="150" t="n"/>
      <c r="C64" s="123" t="n"/>
      <c r="D64" s="170" t="n"/>
      <c r="E64" s="150" t="n"/>
      <c r="F64" s="170" t="n"/>
      <c r="G64" s="150" t="n"/>
      <c r="H64" s="121" t="n"/>
      <c r="I64" s="170" t="n"/>
      <c r="J64" s="170" t="n"/>
      <c r="K64" s="216">
        <f>J64-F64</f>
        <v/>
      </c>
      <c r="L64" s="152">
        <f>K64*24*60</f>
        <v/>
      </c>
      <c r="M64" s="153">
        <f>K64*24</f>
        <v/>
      </c>
    </row>
    <row r="65" ht="15.6" customFormat="1" customHeight="1" s="168">
      <c r="A65" s="197" t="n">
        <v>63</v>
      </c>
      <c r="B65" s="150" t="n"/>
      <c r="C65" s="123" t="n"/>
      <c r="D65" s="170" t="n"/>
      <c r="E65" s="150" t="n"/>
      <c r="F65" s="170" t="n"/>
      <c r="G65" s="150" t="n"/>
      <c r="H65" s="121" t="n"/>
      <c r="I65" s="170" t="n"/>
      <c r="J65" s="170" t="n"/>
      <c r="K65" s="216">
        <f>J65-F65</f>
        <v/>
      </c>
      <c r="L65" s="152">
        <f>K65*24*60</f>
        <v/>
      </c>
      <c r="M65" s="153">
        <f>K65*24</f>
        <v/>
      </c>
    </row>
    <row r="66" ht="15.6" customFormat="1" customHeight="1" s="168">
      <c r="A66" s="197" t="n">
        <v>64</v>
      </c>
      <c r="B66" s="150" t="n"/>
      <c r="C66" s="123" t="n"/>
      <c r="D66" s="170" t="n"/>
      <c r="E66" s="150" t="n"/>
      <c r="F66" s="170" t="n"/>
      <c r="G66" s="150" t="n"/>
      <c r="H66" s="121" t="n"/>
      <c r="I66" s="170" t="n"/>
      <c r="J66" s="170" t="n"/>
      <c r="K66" s="216">
        <f>J66-F66</f>
        <v/>
      </c>
      <c r="L66" s="152">
        <f>K66*24*60</f>
        <v/>
      </c>
      <c r="M66" s="153">
        <f>K66*24</f>
        <v/>
      </c>
    </row>
    <row r="67" ht="15.6" customFormat="1" customHeight="1" s="168">
      <c r="A67" s="197" t="n">
        <v>65</v>
      </c>
      <c r="B67" s="150" t="n"/>
      <c r="C67" s="123" t="n"/>
      <c r="D67" s="170" t="n"/>
      <c r="E67" s="150" t="n"/>
      <c r="F67" s="170" t="n"/>
      <c r="G67" s="150" t="n"/>
      <c r="H67" s="121" t="n"/>
      <c r="I67" s="170" t="n"/>
      <c r="J67" s="170" t="n"/>
      <c r="K67" s="216">
        <f>J67-F67</f>
        <v/>
      </c>
      <c r="L67" s="152">
        <f>K67*24*60</f>
        <v/>
      </c>
      <c r="M67" s="153">
        <f>K67*24</f>
        <v/>
      </c>
    </row>
    <row r="68" ht="15.6" customFormat="1" customHeight="1" s="168">
      <c r="A68" s="197" t="n">
        <v>66</v>
      </c>
      <c r="B68" s="150" t="n"/>
      <c r="C68" s="123" t="n"/>
      <c r="D68" s="170" t="n"/>
      <c r="E68" s="150" t="n"/>
      <c r="F68" s="170" t="n"/>
      <c r="G68" s="150" t="n"/>
      <c r="H68" s="121" t="n"/>
      <c r="I68" s="170" t="n"/>
      <c r="J68" s="170" t="n"/>
      <c r="K68" s="216">
        <f>J68-F68</f>
        <v/>
      </c>
      <c r="L68" s="152">
        <f>K68*24*60</f>
        <v/>
      </c>
      <c r="M68" s="153">
        <f>K68*24</f>
        <v/>
      </c>
    </row>
    <row r="69" ht="15.6" customFormat="1" customHeight="1" s="168">
      <c r="A69" s="197" t="n">
        <v>67</v>
      </c>
      <c r="B69" s="150" t="n"/>
      <c r="C69" s="123" t="n"/>
      <c r="D69" s="170" t="n"/>
      <c r="E69" s="150" t="n"/>
      <c r="F69" s="170" t="n"/>
      <c r="G69" s="150" t="n"/>
      <c r="H69" s="121" t="n"/>
      <c r="I69" s="170" t="n"/>
      <c r="J69" s="170" t="n"/>
      <c r="K69" s="216">
        <f>J69-F69</f>
        <v/>
      </c>
      <c r="L69" s="152">
        <f>K69*24*60</f>
        <v/>
      </c>
      <c r="M69" s="153">
        <f>K69*24</f>
        <v/>
      </c>
    </row>
    <row r="70" ht="15.6" customFormat="1" customHeight="1" s="168">
      <c r="A70" s="197" t="n">
        <v>68</v>
      </c>
      <c r="B70" s="150" t="n"/>
      <c r="C70" s="123" t="n"/>
      <c r="D70" s="170" t="n"/>
      <c r="E70" s="150" t="n"/>
      <c r="F70" s="170" t="n"/>
      <c r="G70" s="150" t="n"/>
      <c r="H70" s="121" t="n"/>
      <c r="I70" s="170" t="n"/>
      <c r="J70" s="170" t="n"/>
      <c r="K70" s="216">
        <f>J70-F70</f>
        <v/>
      </c>
      <c r="L70" s="152">
        <f>K70*24*60</f>
        <v/>
      </c>
      <c r="M70" s="153">
        <f>K70*24</f>
        <v/>
      </c>
    </row>
    <row r="71" ht="15.6" customFormat="1" customHeight="1" s="168">
      <c r="A71" s="197" t="n">
        <v>69</v>
      </c>
      <c r="B71" s="150" t="n"/>
      <c r="C71" s="123" t="n"/>
      <c r="D71" s="170" t="n"/>
      <c r="E71" s="150" t="n"/>
      <c r="F71" s="170" t="n"/>
      <c r="G71" s="150" t="n"/>
      <c r="H71" s="121" t="n"/>
      <c r="I71" s="170" t="n"/>
      <c r="J71" s="170" t="n"/>
      <c r="K71" s="216">
        <f>J71-F71</f>
        <v/>
      </c>
      <c r="L71" s="152">
        <f>K71*24*60</f>
        <v/>
      </c>
      <c r="M71" s="153">
        <f>K71*24</f>
        <v/>
      </c>
    </row>
    <row r="72" ht="15.6" customFormat="1" customHeight="1" s="168">
      <c r="A72" s="197" t="n">
        <v>70</v>
      </c>
      <c r="B72" s="150" t="n"/>
      <c r="C72" s="123" t="n"/>
      <c r="D72" s="170" t="n"/>
      <c r="E72" s="150" t="n"/>
      <c r="F72" s="170" t="n"/>
      <c r="G72" s="150" t="n"/>
      <c r="H72" s="121" t="n"/>
      <c r="I72" s="170" t="n"/>
      <c r="J72" s="170" t="n"/>
      <c r="K72" s="216">
        <f>J72-F72</f>
        <v/>
      </c>
      <c r="L72" s="152">
        <f>K72*24*60</f>
        <v/>
      </c>
      <c r="M72" s="153">
        <f>K72*24</f>
        <v/>
      </c>
    </row>
    <row r="73" ht="15.6" customFormat="1" customHeight="1" s="168">
      <c r="A73" s="197" t="n">
        <v>71</v>
      </c>
      <c r="B73" s="150" t="n"/>
      <c r="C73" s="123" t="n"/>
      <c r="D73" s="170" t="n"/>
      <c r="E73" s="150" t="n"/>
      <c r="F73" s="170" t="n"/>
      <c r="G73" s="150" t="n"/>
      <c r="H73" s="121" t="n"/>
      <c r="I73" s="170" t="n"/>
      <c r="J73" s="170" t="n"/>
      <c r="K73" s="216">
        <f>J73-F73</f>
        <v/>
      </c>
      <c r="L73" s="152">
        <f>K73*24*60</f>
        <v/>
      </c>
      <c r="M73" s="153">
        <f>K73*24</f>
        <v/>
      </c>
    </row>
    <row r="74" ht="15.6" customFormat="1" customHeight="1" s="168">
      <c r="A74" s="197" t="n">
        <v>72</v>
      </c>
      <c r="B74" s="150" t="n"/>
      <c r="C74" s="123" t="n"/>
      <c r="D74" s="170" t="n"/>
      <c r="E74" s="150" t="n"/>
      <c r="F74" s="170" t="n"/>
      <c r="G74" s="150" t="n"/>
      <c r="H74" s="121" t="n"/>
      <c r="I74" s="170" t="n"/>
      <c r="J74" s="170" t="n"/>
      <c r="K74" s="216">
        <f>J74-F74</f>
        <v/>
      </c>
      <c r="L74" s="152">
        <f>K74*24*60</f>
        <v/>
      </c>
      <c r="M74" s="153">
        <f>K74*24</f>
        <v/>
      </c>
    </row>
    <row r="75" ht="15.6" customFormat="1" customHeight="1" s="168">
      <c r="A75" s="197" t="n">
        <v>73</v>
      </c>
      <c r="B75" s="150" t="n"/>
      <c r="C75" s="123" t="n"/>
      <c r="D75" s="170" t="n"/>
      <c r="E75" s="150" t="n"/>
      <c r="F75" s="170" t="n"/>
      <c r="G75" s="150" t="n"/>
      <c r="H75" s="121" t="n"/>
      <c r="I75" s="170" t="n"/>
      <c r="J75" s="170" t="n"/>
      <c r="K75" s="216">
        <f>J75-F75</f>
        <v/>
      </c>
      <c r="L75" s="152">
        <f>K75*24*60</f>
        <v/>
      </c>
      <c r="M75" s="153">
        <f>K75*24</f>
        <v/>
      </c>
    </row>
    <row r="76" ht="15.6" customFormat="1" customHeight="1" s="168">
      <c r="A76" s="197" t="n">
        <v>74</v>
      </c>
      <c r="B76" s="150" t="n"/>
      <c r="C76" s="123" t="n"/>
      <c r="D76" s="170" t="n"/>
      <c r="E76" s="150" t="n"/>
      <c r="F76" s="170" t="n"/>
      <c r="G76" s="150" t="n"/>
      <c r="H76" s="121" t="n"/>
      <c r="I76" s="170" t="n"/>
      <c r="J76" s="170" t="n"/>
      <c r="K76" s="216">
        <f>J76-F76</f>
        <v/>
      </c>
      <c r="L76" s="152">
        <f>K76*24*60</f>
        <v/>
      </c>
      <c r="M76" s="153">
        <f>K76*24</f>
        <v/>
      </c>
    </row>
    <row r="77" ht="15.6" customFormat="1" customHeight="1" s="168">
      <c r="A77" s="197" t="n">
        <v>75</v>
      </c>
      <c r="B77" s="150" t="n"/>
      <c r="C77" s="123" t="n"/>
      <c r="D77" s="170" t="n"/>
      <c r="E77" s="150" t="n"/>
      <c r="F77" s="170" t="n"/>
      <c r="G77" s="150" t="n"/>
      <c r="H77" s="121" t="n"/>
      <c r="I77" s="170" t="n"/>
      <c r="J77" s="170" t="n"/>
      <c r="K77" s="216">
        <f>J77-F77</f>
        <v/>
      </c>
      <c r="L77" s="152">
        <f>K77*24*60</f>
        <v/>
      </c>
      <c r="M77" s="153">
        <f>K77*24</f>
        <v/>
      </c>
    </row>
    <row r="78" ht="15.6" customFormat="1" customHeight="1" s="168">
      <c r="A78" s="197" t="n">
        <v>76</v>
      </c>
      <c r="B78" s="150" t="n"/>
      <c r="C78" s="123" t="n"/>
      <c r="D78" s="170" t="n"/>
      <c r="E78" s="150" t="n"/>
      <c r="F78" s="170" t="n"/>
      <c r="G78" s="150" t="n"/>
      <c r="H78" s="121" t="n"/>
      <c r="I78" s="170" t="n"/>
      <c r="J78" s="170" t="n"/>
      <c r="K78" s="216">
        <f>J78-F78</f>
        <v/>
      </c>
      <c r="L78" s="152">
        <f>K78*24*60</f>
        <v/>
      </c>
      <c r="M78" s="153">
        <f>K78*24</f>
        <v/>
      </c>
    </row>
    <row r="79" ht="15.6" customFormat="1" customHeight="1" s="168">
      <c r="A79" s="197" t="n">
        <v>77</v>
      </c>
      <c r="B79" s="150" t="n"/>
      <c r="C79" s="123" t="n"/>
      <c r="D79" s="170" t="n"/>
      <c r="E79" s="150" t="n"/>
      <c r="F79" s="170" t="n"/>
      <c r="G79" s="150" t="n"/>
      <c r="H79" s="121" t="n"/>
      <c r="I79" s="170" t="n"/>
      <c r="J79" s="170" t="n"/>
      <c r="K79" s="216">
        <f>J79-F79</f>
        <v/>
      </c>
      <c r="L79" s="152">
        <f>K79*24*60</f>
        <v/>
      </c>
      <c r="M79" s="153">
        <f>K79*24</f>
        <v/>
      </c>
    </row>
    <row r="80" ht="15.6" customFormat="1" customHeight="1" s="168">
      <c r="A80" s="197" t="n">
        <v>78</v>
      </c>
      <c r="B80" s="150" t="n"/>
      <c r="C80" s="123" t="n"/>
      <c r="D80" s="170" t="n"/>
      <c r="E80" s="150" t="n"/>
      <c r="F80" s="170" t="n"/>
      <c r="G80" s="150" t="n"/>
      <c r="H80" s="121" t="n"/>
      <c r="I80" s="170" t="n"/>
      <c r="J80" s="170" t="n"/>
      <c r="K80" s="216">
        <f>J80-F80</f>
        <v/>
      </c>
      <c r="L80" s="152">
        <f>K80*24*60</f>
        <v/>
      </c>
      <c r="M80" s="153">
        <f>K80*24</f>
        <v/>
      </c>
    </row>
    <row r="81" ht="15.6" customFormat="1" customHeight="1" s="168">
      <c r="A81" s="197" t="n">
        <v>79</v>
      </c>
      <c r="B81" s="150" t="n"/>
      <c r="C81" s="123" t="n"/>
      <c r="D81" s="170" t="n"/>
      <c r="E81" s="150" t="n"/>
      <c r="F81" s="170" t="n"/>
      <c r="G81" s="150" t="n"/>
      <c r="H81" s="121" t="n"/>
      <c r="I81" s="170" t="n"/>
      <c r="J81" s="170" t="n"/>
      <c r="K81" s="216">
        <f>J81-F81</f>
        <v/>
      </c>
      <c r="L81" s="152">
        <f>K81*24*60</f>
        <v/>
      </c>
      <c r="M81" s="153">
        <f>K81*24</f>
        <v/>
      </c>
    </row>
    <row r="82" ht="15.6" customFormat="1" customHeight="1" s="168">
      <c r="A82" s="197" t="n">
        <v>80</v>
      </c>
      <c r="B82" s="150" t="n"/>
      <c r="C82" s="123" t="n"/>
      <c r="D82" s="170" t="n"/>
      <c r="E82" s="150" t="n"/>
      <c r="F82" s="170" t="n"/>
      <c r="G82" s="150" t="n"/>
      <c r="H82" s="121" t="n"/>
      <c r="I82" s="170" t="n"/>
      <c r="J82" s="170" t="n"/>
      <c r="K82" s="216">
        <f>J82-F82</f>
        <v/>
      </c>
      <c r="L82" s="152">
        <f>K82*24*60</f>
        <v/>
      </c>
      <c r="M82" s="153">
        <f>K82*24</f>
        <v/>
      </c>
    </row>
    <row r="83" ht="15.6" customFormat="1" customHeight="1" s="168">
      <c r="A83" s="197" t="n">
        <v>81</v>
      </c>
      <c r="B83" s="150" t="n"/>
      <c r="C83" s="123" t="n"/>
      <c r="D83" s="170" t="n"/>
      <c r="E83" s="150" t="n"/>
      <c r="F83" s="170" t="n"/>
      <c r="G83" s="150" t="n"/>
      <c r="H83" s="121" t="n"/>
      <c r="I83" s="170" t="n"/>
      <c r="J83" s="170" t="n"/>
      <c r="K83" s="216">
        <f>J83-F83</f>
        <v/>
      </c>
      <c r="L83" s="152">
        <f>K83*24*60</f>
        <v/>
      </c>
      <c r="M83" s="153">
        <f>K83*24</f>
        <v/>
      </c>
    </row>
    <row r="84" ht="15.6" customFormat="1" customHeight="1" s="168">
      <c r="A84" s="197" t="n">
        <v>82</v>
      </c>
      <c r="B84" s="150" t="n"/>
      <c r="C84" s="123" t="n"/>
      <c r="D84" s="170" t="n"/>
      <c r="E84" s="150" t="n"/>
      <c r="F84" s="170" t="n"/>
      <c r="G84" s="150" t="n"/>
      <c r="H84" s="121" t="n"/>
      <c r="I84" s="170" t="n"/>
      <c r="J84" s="170" t="n"/>
      <c r="K84" s="216">
        <f>J84-F84</f>
        <v/>
      </c>
      <c r="L84" s="152">
        <f>K84*24*60</f>
        <v/>
      </c>
      <c r="M84" s="153">
        <f>K84*24</f>
        <v/>
      </c>
    </row>
    <row r="85" ht="15.6" customFormat="1" customHeight="1" s="168">
      <c r="A85" s="197" t="n">
        <v>83</v>
      </c>
      <c r="B85" s="150" t="n"/>
      <c r="C85" s="123" t="n"/>
      <c r="D85" s="170" t="n"/>
      <c r="E85" s="150" t="n"/>
      <c r="F85" s="170" t="n"/>
      <c r="G85" s="150" t="n"/>
      <c r="H85" s="121" t="n"/>
      <c r="I85" s="170" t="n"/>
      <c r="J85" s="170" t="n"/>
      <c r="K85" s="216">
        <f>J85-F85</f>
        <v/>
      </c>
      <c r="L85" s="152">
        <f>K85*24*60</f>
        <v/>
      </c>
      <c r="M85" s="153">
        <f>K85*24</f>
        <v/>
      </c>
    </row>
    <row r="86" ht="15.6" customFormat="1" customHeight="1" s="168">
      <c r="A86" s="197" t="n">
        <v>84</v>
      </c>
      <c r="B86" s="150" t="n"/>
      <c r="C86" s="123" t="n"/>
      <c r="D86" s="170" t="n"/>
      <c r="E86" s="150" t="n"/>
      <c r="F86" s="170" t="n"/>
      <c r="G86" s="150" t="n"/>
      <c r="H86" s="121" t="n"/>
      <c r="I86" s="170" t="n"/>
      <c r="J86" s="170" t="n"/>
      <c r="K86" s="216">
        <f>J86-F86</f>
        <v/>
      </c>
      <c r="L86" s="152">
        <f>K86*24*60</f>
        <v/>
      </c>
      <c r="M86" s="153">
        <f>K86*24</f>
        <v/>
      </c>
    </row>
    <row r="87" ht="15.6" customFormat="1" customHeight="1" s="168">
      <c r="A87" s="197" t="n">
        <v>85</v>
      </c>
      <c r="B87" s="150" t="n"/>
      <c r="C87" s="123" t="n"/>
      <c r="D87" s="170" t="n"/>
      <c r="E87" s="150" t="n"/>
      <c r="F87" s="170" t="n"/>
      <c r="G87" s="150" t="n"/>
      <c r="H87" s="121" t="n"/>
      <c r="I87" s="170" t="n"/>
      <c r="J87" s="170" t="n"/>
      <c r="K87" s="216">
        <f>J87-F87</f>
        <v/>
      </c>
      <c r="L87" s="152">
        <f>K87*24*60</f>
        <v/>
      </c>
      <c r="M87" s="153">
        <f>K87*24</f>
        <v/>
      </c>
    </row>
    <row r="88" ht="15.6" customFormat="1" customHeight="1" s="168">
      <c r="A88" s="197" t="n">
        <v>86</v>
      </c>
      <c r="B88" s="150" t="n"/>
      <c r="C88" s="123" t="n"/>
      <c r="D88" s="170" t="n"/>
      <c r="E88" s="150" t="n"/>
      <c r="F88" s="170" t="n"/>
      <c r="G88" s="150" t="n"/>
      <c r="H88" s="121" t="n"/>
      <c r="I88" s="170" t="n"/>
      <c r="J88" s="170" t="n"/>
      <c r="K88" s="216">
        <f>J88-F88</f>
        <v/>
      </c>
      <c r="L88" s="152">
        <f>K88*24*60</f>
        <v/>
      </c>
      <c r="M88" s="153">
        <f>K88*24</f>
        <v/>
      </c>
    </row>
    <row r="89" ht="15.6" customFormat="1" customHeight="1" s="168">
      <c r="A89" s="197" t="n">
        <v>87</v>
      </c>
      <c r="B89" s="150" t="n"/>
      <c r="C89" s="123" t="n"/>
      <c r="D89" s="170" t="n"/>
      <c r="E89" s="150" t="n"/>
      <c r="F89" s="170" t="n"/>
      <c r="G89" s="150" t="n"/>
      <c r="H89" s="121" t="n"/>
      <c r="I89" s="170" t="n"/>
      <c r="J89" s="170" t="n"/>
      <c r="K89" s="216">
        <f>J89-F89</f>
        <v/>
      </c>
      <c r="L89" s="152">
        <f>K89*24*60</f>
        <v/>
      </c>
      <c r="M89" s="153">
        <f>K89*24</f>
        <v/>
      </c>
    </row>
    <row r="90" ht="15.6" customFormat="1" customHeight="1" s="168">
      <c r="A90" s="197" t="n">
        <v>88</v>
      </c>
      <c r="B90" s="150" t="n"/>
      <c r="C90" s="123" t="n"/>
      <c r="D90" s="170" t="n"/>
      <c r="E90" s="150" t="n"/>
      <c r="F90" s="170" t="n"/>
      <c r="G90" s="150" t="n"/>
      <c r="H90" s="121" t="n"/>
      <c r="I90" s="170" t="n"/>
      <c r="J90" s="170" t="n"/>
      <c r="K90" s="216">
        <f>J90-F90</f>
        <v/>
      </c>
      <c r="L90" s="152">
        <f>K90*24*60</f>
        <v/>
      </c>
      <c r="M90" s="153">
        <f>K90*24</f>
        <v/>
      </c>
    </row>
    <row r="91" ht="15.6" customFormat="1" customHeight="1" s="168">
      <c r="A91" s="197" t="n">
        <v>89</v>
      </c>
      <c r="B91" s="150" t="n"/>
      <c r="C91" s="123" t="n"/>
      <c r="D91" s="170" t="n"/>
      <c r="E91" s="150" t="n"/>
      <c r="F91" s="170" t="n"/>
      <c r="G91" s="150" t="n"/>
      <c r="H91" s="121" t="n"/>
      <c r="I91" s="170" t="n"/>
      <c r="J91" s="170" t="n"/>
      <c r="K91" s="216">
        <f>J91-F91</f>
        <v/>
      </c>
      <c r="L91" s="152">
        <f>K91*24*60</f>
        <v/>
      </c>
      <c r="M91" s="153">
        <f>K91*24</f>
        <v/>
      </c>
    </row>
    <row r="92" ht="15.6" customFormat="1" customHeight="1" s="168">
      <c r="A92" s="197" t="n">
        <v>90</v>
      </c>
      <c r="B92" s="150" t="n"/>
      <c r="C92" s="123" t="n"/>
      <c r="D92" s="170" t="n"/>
      <c r="E92" s="150" t="n"/>
      <c r="F92" s="170" t="n"/>
      <c r="G92" s="150" t="n"/>
      <c r="H92" s="121" t="n"/>
      <c r="I92" s="170" t="n"/>
      <c r="J92" s="170" t="n"/>
      <c r="K92" s="216">
        <f>J92-F92</f>
        <v/>
      </c>
      <c r="L92" s="152">
        <f>K92*24*60</f>
        <v/>
      </c>
      <c r="M92" s="153">
        <f>K92*24</f>
        <v/>
      </c>
    </row>
    <row r="93" ht="15.6" customFormat="1" customHeight="1" s="168">
      <c r="A93" s="197" t="n">
        <v>91</v>
      </c>
      <c r="B93" s="150" t="n"/>
      <c r="C93" s="123" t="n"/>
      <c r="D93" s="170" t="n"/>
      <c r="E93" s="150" t="n"/>
      <c r="F93" s="170" t="n"/>
      <c r="G93" s="150" t="n"/>
      <c r="H93" s="121" t="n"/>
      <c r="I93" s="170" t="n"/>
      <c r="J93" s="170" t="n"/>
      <c r="K93" s="216">
        <f>J93-F93</f>
        <v/>
      </c>
      <c r="L93" s="152">
        <f>K93*24*60</f>
        <v/>
      </c>
      <c r="M93" s="153">
        <f>K93*24</f>
        <v/>
      </c>
    </row>
    <row r="94" ht="15.6" customFormat="1" customHeight="1" s="168">
      <c r="A94" s="197" t="n">
        <v>92</v>
      </c>
      <c r="B94" s="150" t="n"/>
      <c r="C94" s="123" t="n"/>
      <c r="D94" s="170" t="n"/>
      <c r="E94" s="150" t="n"/>
      <c r="F94" s="170" t="n"/>
      <c r="G94" s="150" t="n"/>
      <c r="H94" s="121" t="n"/>
      <c r="I94" s="170" t="n"/>
      <c r="J94" s="170" t="n"/>
      <c r="K94" s="216">
        <f>J94-F94</f>
        <v/>
      </c>
      <c r="L94" s="152">
        <f>K94*24*60</f>
        <v/>
      </c>
      <c r="M94" s="153">
        <f>K94*24</f>
        <v/>
      </c>
    </row>
    <row r="95" ht="15.6" customFormat="1" customHeight="1" s="168">
      <c r="A95" s="197" t="n">
        <v>93</v>
      </c>
      <c r="B95" s="150" t="n"/>
      <c r="C95" s="123" t="n"/>
      <c r="D95" s="170" t="n"/>
      <c r="E95" s="150" t="n"/>
      <c r="F95" s="170" t="n"/>
      <c r="G95" s="150" t="n"/>
      <c r="H95" s="121" t="n"/>
      <c r="I95" s="170" t="n"/>
      <c r="J95" s="170" t="n"/>
      <c r="K95" s="216">
        <f>J95-F95</f>
        <v/>
      </c>
      <c r="L95" s="152">
        <f>K95*24*60</f>
        <v/>
      </c>
      <c r="M95" s="153">
        <f>K95*24</f>
        <v/>
      </c>
    </row>
    <row r="96" ht="15.6" customFormat="1" customHeight="1" s="168">
      <c r="A96" s="197" t="n">
        <v>94</v>
      </c>
      <c r="B96" s="150" t="n"/>
      <c r="C96" s="123" t="n"/>
      <c r="D96" s="170" t="n"/>
      <c r="E96" s="150" t="n"/>
      <c r="F96" s="170" t="n"/>
      <c r="G96" s="150" t="n"/>
      <c r="H96" s="121" t="n"/>
      <c r="I96" s="170" t="n"/>
      <c r="J96" s="170" t="n"/>
      <c r="K96" s="216">
        <f>J96-F96</f>
        <v/>
      </c>
      <c r="L96" s="152">
        <f>K96*24*60</f>
        <v/>
      </c>
      <c r="M96" s="153">
        <f>K96*24</f>
        <v/>
      </c>
    </row>
    <row r="97" ht="15.6" customFormat="1" customHeight="1" s="168">
      <c r="A97" s="197" t="n">
        <v>95</v>
      </c>
      <c r="B97" s="150" t="n"/>
      <c r="C97" s="123" t="n"/>
      <c r="D97" s="170" t="n"/>
      <c r="E97" s="150" t="n"/>
      <c r="F97" s="170" t="n"/>
      <c r="G97" s="150" t="n"/>
      <c r="H97" s="121" t="n"/>
      <c r="I97" s="170" t="n"/>
      <c r="J97" s="170" t="n"/>
      <c r="K97" s="216">
        <f>J97-F97</f>
        <v/>
      </c>
      <c r="L97" s="152">
        <f>K97*24*60</f>
        <v/>
      </c>
      <c r="M97" s="153">
        <f>K97*24</f>
        <v/>
      </c>
    </row>
    <row r="98" ht="15.6" customFormat="1" customHeight="1" s="168">
      <c r="A98" s="197" t="n">
        <v>96</v>
      </c>
      <c r="B98" s="150" t="n"/>
      <c r="C98" s="123" t="n"/>
      <c r="D98" s="170" t="n"/>
      <c r="E98" s="150" t="n"/>
      <c r="F98" s="170" t="n"/>
      <c r="G98" s="150" t="n"/>
      <c r="H98" s="121" t="n"/>
      <c r="I98" s="170" t="n"/>
      <c r="J98" s="170" t="n"/>
      <c r="K98" s="216">
        <f>J98-F98</f>
        <v/>
      </c>
      <c r="L98" s="152">
        <f>K98*24*60</f>
        <v/>
      </c>
      <c r="M98" s="153">
        <f>K98*24</f>
        <v/>
      </c>
    </row>
    <row r="99" ht="15.6" customFormat="1" customHeight="1" s="168">
      <c r="A99" s="197" t="n">
        <v>97</v>
      </c>
      <c r="B99" s="230" t="n"/>
      <c r="C99" s="123" t="n"/>
      <c r="E99" s="230" t="n"/>
      <c r="G99" s="230" t="n"/>
      <c r="H99" s="121" t="n"/>
      <c r="K99" s="216">
        <f>J99-F99</f>
        <v/>
      </c>
      <c r="L99" s="152">
        <f>K99*24*60</f>
        <v/>
      </c>
      <c r="M99" s="153">
        <f>K99*24</f>
        <v/>
      </c>
    </row>
    <row r="100" ht="15.6" customFormat="1" customHeight="1" s="165">
      <c r="B100" s="212" t="n"/>
      <c r="C100" s="123" t="n"/>
      <c r="E100" s="212" t="n"/>
      <c r="G100" s="212" t="n"/>
      <c r="H100" s="121" t="n"/>
    </row>
    <row r="101" ht="15.6" customFormat="1" customHeight="1" s="165">
      <c r="B101" s="212" t="n"/>
      <c r="C101" s="123" t="n"/>
      <c r="E101" s="212" t="n"/>
      <c r="G101" s="212" t="n"/>
      <c r="H101" s="121" t="n"/>
    </row>
    <row r="102" ht="15.6" customFormat="1" customHeight="1" s="165">
      <c r="B102" s="212" t="n"/>
      <c r="C102" s="123" t="n"/>
      <c r="E102" s="212" t="n"/>
      <c r="G102" s="212" t="n"/>
      <c r="H102" s="121" t="n"/>
    </row>
    <row r="103" ht="15.6" customFormat="1" customHeight="1" s="165">
      <c r="B103" s="212" t="n"/>
      <c r="C103" s="123" t="n"/>
      <c r="E103" s="212" t="n"/>
      <c r="G103" s="212" t="n"/>
      <c r="H103" s="121" t="n"/>
    </row>
    <row r="104" ht="15.6" customFormat="1" customHeight="1" s="165">
      <c r="B104" s="212" t="n"/>
      <c r="C104" s="123" t="n"/>
      <c r="E104" s="212" t="n"/>
      <c r="G104" s="212" t="n"/>
      <c r="H104" s="121" t="n"/>
    </row>
    <row r="105" ht="15.6" customFormat="1" customHeight="1" s="165">
      <c r="B105" s="212" t="n"/>
      <c r="C105" s="123" t="n"/>
      <c r="E105" s="212" t="n"/>
      <c r="G105" s="212" t="n"/>
      <c r="H105" s="121" t="n"/>
    </row>
    <row r="106" ht="15.6" customFormat="1" customHeight="1" s="165">
      <c r="B106" s="212" t="n"/>
      <c r="C106" s="123" t="n"/>
      <c r="E106" s="212" t="n"/>
      <c r="G106" s="212" t="n"/>
      <c r="H106" s="121" t="n"/>
    </row>
    <row r="107" ht="15.6" customFormat="1" customHeight="1" s="165">
      <c r="B107" s="212" t="n"/>
      <c r="C107" s="123" t="n"/>
      <c r="E107" s="212" t="n"/>
      <c r="G107" s="212" t="n"/>
      <c r="H107" s="121" t="n"/>
    </row>
    <row r="108" ht="15.6" customFormat="1" customHeight="1" s="165">
      <c r="B108" s="212" t="n"/>
      <c r="C108" s="123" t="n"/>
      <c r="E108" s="212" t="n"/>
      <c r="G108" s="212" t="n"/>
      <c r="H108" s="121" t="n"/>
    </row>
    <row r="109" ht="15.6" customFormat="1" customHeight="1" s="165">
      <c r="B109" s="212" t="n"/>
      <c r="C109" s="123" t="n"/>
      <c r="E109" s="212" t="n"/>
      <c r="G109" s="212" t="n"/>
      <c r="H109" s="121" t="n"/>
    </row>
    <row r="110" ht="15.6" customFormat="1" customHeight="1" s="165">
      <c r="B110" s="212" t="n"/>
      <c r="C110" s="123" t="n"/>
      <c r="E110" s="212" t="n"/>
      <c r="G110" s="212" t="n"/>
      <c r="H110" s="121" t="n"/>
    </row>
    <row r="111" ht="15.6" customFormat="1" customHeight="1" s="165">
      <c r="B111" s="212" t="n"/>
      <c r="C111" s="123" t="n"/>
      <c r="E111" s="212" t="n"/>
      <c r="G111" s="212" t="n"/>
      <c r="H111" s="7" t="n"/>
    </row>
    <row r="112" customFormat="1" s="165">
      <c r="B112" s="212" t="n"/>
      <c r="C112" s="7" t="n"/>
      <c r="E112" s="212" t="n"/>
      <c r="G112" s="212" t="n"/>
      <c r="H112" s="7" t="n"/>
    </row>
    <row r="113" customFormat="1" s="165">
      <c r="B113" s="212" t="n"/>
      <c r="C113" s="7" t="n"/>
      <c r="E113" s="212" t="n"/>
      <c r="G113" s="212" t="n"/>
      <c r="H113" s="7" t="n"/>
    </row>
    <row r="114" customFormat="1" s="165">
      <c r="B114" s="212" t="n"/>
      <c r="C114" s="7" t="n"/>
      <c r="E114" s="212" t="n"/>
      <c r="G114" s="212" t="n"/>
      <c r="H114" s="7" t="n"/>
    </row>
    <row r="115" customFormat="1" s="165">
      <c r="B115" s="212" t="n"/>
      <c r="C115" s="7" t="n"/>
      <c r="E115" s="212" t="n"/>
      <c r="G115" s="212" t="n"/>
      <c r="H115" s="7" t="n"/>
    </row>
    <row r="116" customFormat="1" s="165">
      <c r="B116" s="212" t="n"/>
      <c r="C116" s="7" t="n"/>
      <c r="E116" s="212" t="n"/>
      <c r="G116" s="212" t="n"/>
      <c r="H116" s="7" t="n"/>
    </row>
    <row r="117" customFormat="1" s="165">
      <c r="B117" s="212" t="n"/>
      <c r="C117" s="7" t="n"/>
      <c r="E117" s="212" t="n"/>
      <c r="G117" s="212" t="n"/>
      <c r="H117" s="7" t="n"/>
    </row>
    <row r="118" customFormat="1" s="165">
      <c r="B118" s="212" t="n"/>
      <c r="C118" s="7" t="n"/>
      <c r="E118" s="212" t="n"/>
      <c r="G118" s="212" t="n"/>
      <c r="H118" s="7" t="n"/>
    </row>
    <row r="119" customFormat="1" s="165">
      <c r="B119" s="212" t="n"/>
      <c r="C119" s="7" t="n"/>
      <c r="E119" s="212" t="n"/>
      <c r="G119" s="212" t="n"/>
      <c r="H119" s="7" t="n"/>
    </row>
    <row r="120" customFormat="1" s="165">
      <c r="B120" s="212" t="n"/>
      <c r="C120" s="7" t="n"/>
      <c r="E120" s="212" t="n"/>
      <c r="G120" s="212" t="n"/>
      <c r="H120" s="7" t="n"/>
    </row>
    <row r="121" customFormat="1" s="165">
      <c r="B121" s="212" t="n"/>
      <c r="C121" s="7" t="n"/>
      <c r="E121" s="212" t="n"/>
      <c r="G121" s="212" t="n"/>
      <c r="H121" s="7" t="n"/>
    </row>
    <row r="122" customFormat="1" s="165">
      <c r="B122" s="212" t="n"/>
      <c r="C122" s="7" t="n"/>
      <c r="E122" s="212" t="n"/>
      <c r="G122" s="212" t="n"/>
      <c r="H122" s="7" t="n"/>
    </row>
    <row r="123" customFormat="1" s="165">
      <c r="B123" s="212" t="n"/>
      <c r="C123" s="7" t="n"/>
      <c r="E123" s="212" t="n"/>
      <c r="G123" s="212" t="n"/>
      <c r="H123" s="7" t="n"/>
    </row>
    <row r="124" customFormat="1" s="165">
      <c r="B124" s="212" t="n"/>
      <c r="C124" s="7" t="n"/>
      <c r="E124" s="212" t="n"/>
      <c r="G124" s="212" t="n"/>
      <c r="H124" s="7" t="n"/>
    </row>
    <row r="125" customFormat="1" s="165">
      <c r="B125" s="212" t="n"/>
      <c r="C125" s="7" t="n"/>
      <c r="E125" s="212" t="n"/>
      <c r="G125" s="212" t="n"/>
      <c r="H125" s="7" t="n"/>
    </row>
    <row r="126" customFormat="1" s="165">
      <c r="B126" s="212" t="n"/>
      <c r="C126" s="7" t="n"/>
      <c r="E126" s="212" t="n"/>
      <c r="G126" s="212" t="n"/>
      <c r="H126" s="7" t="n"/>
    </row>
    <row r="127" customFormat="1" s="165">
      <c r="B127" s="212" t="n"/>
      <c r="C127" s="7" t="n"/>
      <c r="E127" s="212" t="n"/>
      <c r="G127" s="212" t="n"/>
      <c r="H127" s="7" t="n"/>
    </row>
    <row r="128" customFormat="1" s="165">
      <c r="B128" s="212" t="n"/>
      <c r="C128" s="7" t="n"/>
      <c r="E128" s="212" t="n"/>
      <c r="G128" s="212" t="n"/>
      <c r="H128" s="7" t="n"/>
    </row>
    <row r="129" customFormat="1" s="165">
      <c r="B129" s="212" t="n"/>
      <c r="C129" s="7" t="n"/>
      <c r="E129" s="212" t="n"/>
      <c r="G129" s="212" t="n"/>
      <c r="H129" s="7" t="n"/>
    </row>
    <row r="1046615">
      <c r="H1046615" s="100" t="n"/>
    </row>
    <row r="1047805">
      <c r="F1047805" s="20" t="n"/>
    </row>
  </sheetData>
  <autoFilter ref="B2:M37"/>
  <mergeCells count="1">
    <mergeCell ref="A1:M1"/>
  </mergeCells>
  <dataValidations count="1">
    <dataValidation sqref="H2" showDropDown="0" showInputMessage="1" showErrorMessage="1" allowBlank="1" type="list">
      <formula1>#REF!</formula1>
    </dataValidation>
  </dataValidations>
  <hyperlinks>
    <hyperlink xmlns:r="http://schemas.openxmlformats.org/officeDocument/2006/relationships" ref="B3" r:id="rId1"/>
  </hyperlinks>
  <pageMargins left="0.7" right="0.7" top="0.75" bottom="0.75" header="0.3" footer="0.3"/>
  <pageSetup orientation="portrait" horizontalDpi="4294967295" verticalDpi="4294967295"/>
</worksheet>
</file>

<file path=xl/worksheets/sheet9.xml><?xml version="1.0" encoding="utf-8"?>
<worksheet xmlns="http://schemas.openxmlformats.org/spreadsheetml/2006/main">
  <sheetPr>
    <outlinePr summaryBelow="1" summaryRight="1"/>
    <pageSetUpPr/>
  </sheetPr>
  <dimension ref="A1:G54"/>
  <sheetViews>
    <sheetView workbookViewId="0">
      <selection activeCell="C17" sqref="C17"/>
    </sheetView>
  </sheetViews>
  <sheetFormatPr baseColWidth="8" defaultColWidth="11.42578125" defaultRowHeight="14.45"/>
  <cols>
    <col width="41.7109375" bestFit="1" customWidth="1" min="3" max="3"/>
    <col width="37.7109375" bestFit="1" customWidth="1" min="7" max="7"/>
  </cols>
  <sheetData>
    <row r="1" ht="15.6" customHeight="1">
      <c r="B1" s="320" t="inlineStr">
        <is>
          <t>ANALISTAS</t>
        </is>
      </c>
      <c r="C1" s="360" t="n"/>
      <c r="G1" s="117" t="inlineStr">
        <is>
          <t>AREAS</t>
        </is>
      </c>
    </row>
    <row r="2" ht="15" customHeight="1" thickBot="1">
      <c r="B2" s="361" t="n"/>
      <c r="C2" s="362" t="n"/>
      <c r="G2" s="118" t="inlineStr">
        <is>
          <t>ALMACENAMIENTO</t>
        </is>
      </c>
    </row>
    <row r="3" ht="15.6" customHeight="1">
      <c r="A3" s="117" t="inlineStr">
        <is>
          <t>MAÑANA</t>
        </is>
      </c>
      <c r="B3" s="117" t="n"/>
      <c r="C3" s="117" t="n"/>
      <c r="G3" s="118" t="inlineStr">
        <is>
          <t>APLICACIONES</t>
        </is>
      </c>
    </row>
    <row r="4">
      <c r="B4" s="324" t="n"/>
      <c r="C4" s="115" t="inlineStr">
        <is>
          <t>Anderson Garcia Cataño / 06:00 - 14:00</t>
        </is>
      </c>
      <c r="G4" s="118" t="inlineStr">
        <is>
          <t>BACKUP</t>
        </is>
      </c>
    </row>
    <row r="5">
      <c r="B5" s="348" t="n"/>
      <c r="C5" s="115" t="inlineStr">
        <is>
          <t>Andres Matinez Hincapie / 06:00 - 14:00</t>
        </is>
      </c>
      <c r="G5" s="118" t="inlineStr">
        <is>
          <t>BASE DE DATOS</t>
        </is>
      </c>
    </row>
    <row r="6">
      <c r="B6" s="348" t="n"/>
      <c r="C6" s="115" t="inlineStr">
        <is>
          <t>Julián David Cataño Sierra / 06:00 - 14:00</t>
        </is>
      </c>
      <c r="G6" s="118" t="inlineStr">
        <is>
          <t>SEGURIDAD INFORMATICA</t>
        </is>
      </c>
    </row>
    <row r="7">
      <c r="B7" s="348" t="n"/>
      <c r="C7" s="115" t="inlineStr">
        <is>
          <t>Carlos Andrés Botero Ríos / 06:00 - 14:00</t>
        </is>
      </c>
      <c r="G7" s="118" t="inlineStr">
        <is>
          <t>SERVIDORES</t>
        </is>
      </c>
    </row>
    <row r="8" ht="15" customHeight="1" thickBot="1">
      <c r="B8" s="363" t="n"/>
      <c r="C8" s="115" t="inlineStr">
        <is>
          <t>Roman Echavarría Meneses / 06:00 - 14:00</t>
        </is>
      </c>
      <c r="G8" s="118" t="inlineStr">
        <is>
          <t>SOPORTE GIS</t>
        </is>
      </c>
    </row>
    <row r="9" ht="15.6" customHeight="1">
      <c r="A9" s="117" t="inlineStr">
        <is>
          <t>TARDE</t>
        </is>
      </c>
      <c r="B9" s="324" t="n"/>
      <c r="C9" s="115" t="inlineStr">
        <is>
          <t>Anderson Garcia Cataño / 14:00 - 22:00</t>
        </is>
      </c>
      <c r="G9" s="118" t="inlineStr">
        <is>
          <t>TELECOMUNICACIONES</t>
        </is>
      </c>
    </row>
    <row r="10">
      <c r="B10" s="348" t="n"/>
      <c r="C10" s="115" t="inlineStr">
        <is>
          <t>Andres Matinez Hincapie / 14:00 - 22:00</t>
        </is>
      </c>
      <c r="G10" s="118" t="n"/>
    </row>
    <row r="11">
      <c r="B11" s="348" t="n"/>
      <c r="C11" s="115" t="inlineStr">
        <is>
          <t>Julián David Cataño Sierra / 14:00 - 22:00</t>
        </is>
      </c>
      <c r="G11" s="118" t="n"/>
    </row>
    <row r="12">
      <c r="B12" s="348" t="n"/>
      <c r="C12" s="115" t="inlineStr">
        <is>
          <t>Carlos Andrés Botero Ríos / 14:00 - 22:00</t>
        </is>
      </c>
      <c r="G12" s="118" t="n"/>
    </row>
    <row r="13" ht="15" customHeight="1" thickBot="1">
      <c r="B13" s="363" t="n"/>
      <c r="C13" s="115" t="inlineStr">
        <is>
          <t>Roman Echavarría Meneses / 14:00 - 22:00</t>
        </is>
      </c>
      <c r="G13" s="118" t="n"/>
    </row>
    <row r="14" ht="15.6" customHeight="1">
      <c r="A14" s="117" t="inlineStr">
        <is>
          <t>NOCHE</t>
        </is>
      </c>
      <c r="B14" s="364" t="n"/>
      <c r="C14" s="115" t="inlineStr">
        <is>
          <t>Anderson Garcia Cataño / 22:00 - 06:00</t>
        </is>
      </c>
      <c r="G14" s="118" t="n"/>
    </row>
    <row r="15">
      <c r="B15" s="348" t="n"/>
      <c r="C15" s="115" t="inlineStr">
        <is>
          <t>Andres Matinez Hincapie / 22:00 - 06:00</t>
        </is>
      </c>
      <c r="G15" s="118" t="n"/>
    </row>
    <row r="16">
      <c r="B16" s="348" t="n"/>
      <c r="C16" s="115" t="inlineStr">
        <is>
          <t>Julián David Cataño Sierra / 22:00 - 06:00</t>
        </is>
      </c>
      <c r="G16" s="118" t="n"/>
    </row>
    <row r="17" ht="15" customHeight="1" thickBot="1">
      <c r="B17" s="348" t="n"/>
      <c r="C17" s="116" t="inlineStr">
        <is>
          <t>Carlos Andrés Botero Ríos / 22:00 - 06:00</t>
        </is>
      </c>
      <c r="G17" s="118" t="n"/>
    </row>
    <row r="18" ht="15" customHeight="1" thickBot="1">
      <c r="B18" s="350" t="n"/>
      <c r="C18" s="115" t="inlineStr">
        <is>
          <t>Roman Echavarría Meneses / 22:00 - 06:00</t>
        </is>
      </c>
      <c r="G18" s="118" t="n"/>
    </row>
    <row r="19">
      <c r="B19" s="231" t="n"/>
      <c r="G19" s="118" t="n"/>
    </row>
    <row r="20" ht="15" customHeight="1" thickBot="1">
      <c r="C20" t="inlineStr">
        <is>
          <t>TELECOMUNICACIONES</t>
        </is>
      </c>
      <c r="G20" s="118" t="n"/>
    </row>
    <row r="21" ht="15.95" customHeight="1" thickBot="1">
      <c r="C21" s="117" t="inlineStr">
        <is>
          <t>CAUSA</t>
        </is>
      </c>
      <c r="G21" s="119" t="n"/>
    </row>
    <row r="22">
      <c r="C22" s="118" t="n"/>
    </row>
    <row r="23">
      <c r="C23" s="118" t="inlineStr">
        <is>
          <t>AP bloqueado</t>
        </is>
      </c>
    </row>
    <row r="24">
      <c r="C24" s="118" t="inlineStr">
        <is>
          <t>AP Desconectado del punto de red</t>
        </is>
      </c>
    </row>
    <row r="25">
      <c r="C25" s="118" t="inlineStr">
        <is>
          <t>AP's Desconectados</t>
        </is>
      </c>
    </row>
    <row r="26">
      <c r="C26" s="118" t="inlineStr">
        <is>
          <t>Bloqueo de Sw</t>
        </is>
      </c>
    </row>
    <row r="27">
      <c r="C27" s="118" t="inlineStr">
        <is>
          <t xml:space="preserve">Corte en el cableado </t>
        </is>
      </c>
    </row>
    <row r="28">
      <c r="C28" s="118" t="inlineStr">
        <is>
          <t>Falla eléctrica</t>
        </is>
      </c>
    </row>
    <row r="29">
      <c r="C29" s="118" t="inlineStr">
        <is>
          <t>Falla en puerto troncal</t>
        </is>
      </c>
    </row>
    <row r="30">
      <c r="C30" s="118" t="inlineStr">
        <is>
          <t xml:space="preserve">Falla en switch </t>
        </is>
      </c>
    </row>
    <row r="31">
      <c r="C31" s="118" t="inlineStr">
        <is>
          <t>Falla L2 de Sw</t>
        </is>
      </c>
    </row>
    <row r="32">
      <c r="C32" s="118" t="inlineStr">
        <is>
          <t>Inundación rack</t>
        </is>
      </c>
    </row>
    <row r="33">
      <c r="C33" s="233" t="inlineStr">
        <is>
          <t>Lentitud en la red Lan</t>
        </is>
      </c>
    </row>
    <row r="34">
      <c r="C34" s="118" t="inlineStr">
        <is>
          <t>Loop en la red LAN</t>
        </is>
      </c>
    </row>
    <row r="35">
      <c r="C35" s="118" t="inlineStr">
        <is>
          <t>ONT apagado</t>
        </is>
      </c>
    </row>
    <row r="36">
      <c r="C36" s="118" t="inlineStr">
        <is>
          <t xml:space="preserve">Radio bloqueado </t>
        </is>
      </c>
    </row>
    <row r="37">
      <c r="C37" s="118" t="inlineStr">
        <is>
          <t>Retiro de AP</t>
        </is>
      </c>
    </row>
    <row r="38">
      <c r="C38" s="118" t="inlineStr">
        <is>
          <t>Retiro de Sw</t>
        </is>
      </c>
    </row>
    <row r="39">
      <c r="C39" s="118" t="inlineStr">
        <is>
          <t>Retiro del servicio Tigo</t>
        </is>
      </c>
    </row>
    <row r="40">
      <c r="C40" s="118" t="inlineStr">
        <is>
          <t>Stack bloqueado</t>
        </is>
      </c>
    </row>
    <row r="41">
      <c r="C41" s="118" t="inlineStr">
        <is>
          <t>Suspendido</t>
        </is>
      </c>
    </row>
    <row r="42">
      <c r="C42" s="118" t="inlineStr">
        <is>
          <t>Suspensión temporal del servicio SDWAN</t>
        </is>
      </c>
    </row>
    <row r="43" ht="15" customHeight="1" thickBot="1">
      <c r="C43" s="119" t="inlineStr">
        <is>
          <t>Sw con puertos malos y desconfigurado</t>
        </is>
      </c>
    </row>
    <row r="45" ht="15" customHeight="1" thickBot="1">
      <c r="C45" t="inlineStr">
        <is>
          <t>SERVIDORES</t>
        </is>
      </c>
    </row>
    <row r="46" ht="15.6" customHeight="1">
      <c r="C46" s="117" t="inlineStr">
        <is>
          <t>CAUSA</t>
        </is>
      </c>
    </row>
    <row r="47" ht="15.6" customFormat="1" customHeight="1" s="232">
      <c r="C47" s="118" t="n"/>
    </row>
    <row r="48">
      <c r="C48" s="118" t="inlineStr">
        <is>
          <t xml:space="preserve">Actualizacion del kernel </t>
        </is>
      </c>
    </row>
    <row r="49">
      <c r="C49" s="118" t="inlineStr">
        <is>
          <t xml:space="preserve">Alerta critica espacio en disco servidor </t>
        </is>
      </c>
    </row>
    <row r="50">
      <c r="C50" s="118" t="inlineStr">
        <is>
          <t>Alerta de espacio de disco lleno</t>
        </is>
      </c>
    </row>
    <row r="51">
      <c r="C51" s="118" t="inlineStr">
        <is>
          <t>Bloqueo</t>
        </is>
      </c>
    </row>
    <row r="52">
      <c r="C52" s="118" t="inlineStr">
        <is>
          <t>Desconexion</t>
        </is>
      </c>
    </row>
    <row r="53">
      <c r="C53" s="118" t="inlineStr">
        <is>
          <t>Intermitencia</t>
        </is>
      </c>
    </row>
    <row r="54" ht="15" customHeight="1" thickBot="1">
      <c r="C54" s="119" t="inlineStr">
        <is>
          <t>Reinicio de servidores</t>
        </is>
      </c>
    </row>
  </sheetData>
  <mergeCells count="5">
    <mergeCell ref="B2:C2"/>
    <mergeCell ref="B14:B18"/>
    <mergeCell ref="B9:B13"/>
    <mergeCell ref="B4:B8"/>
    <mergeCell ref="B1:C1"/>
  </mergeCells>
  <pageMargins left="0.7" right="0.7" top="0.75" bottom="0.75" header="0.3" footer="0.3"/>
</worksheet>
</file>

<file path=xl/worksheets/sheet10.xml><?xml version="1.0" encoding="utf-8"?>
<worksheet xmlns="http://schemas.openxmlformats.org/spreadsheetml/2006/main">
  <sheetPr codeName="Hoja7">
    <outlinePr summaryBelow="1" summaryRight="1"/>
    <pageSetUpPr/>
  </sheetPr>
  <dimension ref="A1:M100"/>
  <sheetViews>
    <sheetView zoomScale="78" zoomScaleNormal="78" workbookViewId="0">
      <pane ySplit="2" topLeftCell="A3" activePane="bottomLeft" state="frozen"/>
      <selection pane="bottomLeft" activeCell="G42" sqref="G42"/>
      <selection activeCell="G42" sqref="G42"/>
    </sheetView>
  </sheetViews>
  <sheetFormatPr baseColWidth="8" defaultColWidth="0" defaultRowHeight="14.45"/>
  <cols>
    <col width="11.42578125" customWidth="1" style="24" min="1" max="1"/>
    <col width="26.28515625" customWidth="1" style="24" min="2" max="3"/>
    <col width="18.42578125" customWidth="1" style="24" min="4" max="4"/>
    <col width="28.140625" bestFit="1" customWidth="1" style="24" min="5" max="5"/>
    <col width="20.7109375" customWidth="1" style="24" min="6" max="6"/>
    <col width="41" customWidth="1" style="24" min="7" max="7"/>
    <col width="19.85546875" customWidth="1" style="24" min="8" max="8"/>
    <col width="27.140625" customWidth="1" style="24" min="9" max="9"/>
    <col width="20" customWidth="1" style="24" min="10" max="10"/>
    <col width="19.5703125" customWidth="1" style="24" min="11" max="11"/>
    <col width="10.7109375" customWidth="1" style="24" min="12" max="13"/>
    <col width="6.140625" customWidth="1" style="24" min="14" max="14"/>
    <col hidden="1" width="11.42578125" customWidth="1" style="24" min="15" max="16"/>
    <col hidden="1" style="24" min="17" max="17"/>
    <col hidden="1" width="11.42578125" customWidth="1" style="24" min="18" max="16384"/>
  </cols>
  <sheetData>
    <row r="1" ht="36" customFormat="1" customHeight="1" s="82" thickBot="1">
      <c r="A1" s="329" t="inlineStr">
        <is>
          <t>Planilla Control de Eventos SAP</t>
        </is>
      </c>
      <c r="B1" s="359" t="n"/>
      <c r="C1" s="359" t="n"/>
      <c r="D1" s="359" t="n"/>
      <c r="E1" s="359" t="n"/>
      <c r="F1" s="359" t="n"/>
      <c r="G1" s="359" t="n"/>
      <c r="H1" s="359" t="n"/>
      <c r="I1" s="359" t="n"/>
      <c r="J1" s="359" t="n"/>
      <c r="K1" s="359" t="n"/>
      <c r="L1" s="359" t="n"/>
      <c r="M1" s="359" t="n"/>
    </row>
    <row r="2" ht="42.75" customFormat="1" customHeight="1" s="82" thickBot="1" thickTop="1">
      <c r="A2" s="48" t="inlineStr">
        <is>
          <t>Item</t>
        </is>
      </c>
      <c r="B2" s="45" t="inlineStr">
        <is>
          <t>Dispositivo</t>
        </is>
      </c>
      <c r="C2" s="45" t="inlineStr">
        <is>
          <t>Analista</t>
        </is>
      </c>
      <c r="D2" s="46" t="inlineStr">
        <is>
          <t>Numero de Ticket</t>
        </is>
      </c>
      <c r="E2" s="46" t="inlineStr">
        <is>
          <t>Descripcion del Evento</t>
        </is>
      </c>
      <c r="F2" s="46" t="inlineStr">
        <is>
          <t xml:space="preserve">Fecha/Hora Inicio Evento </t>
        </is>
      </c>
      <c r="G2" s="45" t="inlineStr">
        <is>
          <t>Causa</t>
        </is>
      </c>
      <c r="H2" s="45" t="inlineStr">
        <is>
          <t>Areas Involucradas</t>
        </is>
      </c>
      <c r="I2" s="46" t="inlineStr">
        <is>
          <t>Solucion</t>
        </is>
      </c>
      <c r="J2" s="46" t="inlineStr">
        <is>
          <t xml:space="preserve">Fecha/Hora Fin Evento </t>
        </is>
      </c>
      <c r="K2" s="46" t="inlineStr">
        <is>
          <t>Tiempo Total</t>
        </is>
      </c>
      <c r="L2" s="111" t="inlineStr">
        <is>
          <t>Tiempo Minutos</t>
        </is>
      </c>
      <c r="M2" s="108" t="inlineStr">
        <is>
          <t>Tiempo en Horas</t>
        </is>
      </c>
    </row>
    <row r="3" ht="15.75" customHeight="1" thickTop="1">
      <c r="A3" s="49" t="n">
        <v>1</v>
      </c>
      <c r="C3" s="83" t="n"/>
      <c r="D3" s="101" t="n"/>
      <c r="E3" s="76" t="n"/>
      <c r="F3" s="94" t="n"/>
      <c r="G3" s="77" t="n"/>
      <c r="H3" s="76" t="n"/>
      <c r="I3" s="107" t="n"/>
      <c r="J3" s="94" t="n"/>
      <c r="K3" s="51">
        <f>J3-F3</f>
        <v/>
      </c>
      <c r="L3" s="50">
        <f>K3*24*60</f>
        <v/>
      </c>
      <c r="M3" s="73">
        <f>L3/60</f>
        <v/>
      </c>
    </row>
    <row r="4">
      <c r="A4" s="49" t="n">
        <v>2</v>
      </c>
      <c r="B4" s="76" t="n"/>
      <c r="C4" s="76" t="n"/>
      <c r="D4" s="74" t="n"/>
      <c r="E4" s="76" t="n"/>
      <c r="F4" s="83" t="n"/>
      <c r="G4" s="77" t="n"/>
      <c r="H4" s="76" t="n"/>
      <c r="I4" s="29" t="n"/>
      <c r="J4" s="83" t="n"/>
      <c r="K4" s="51">
        <f>J4-F4</f>
        <v/>
      </c>
      <c r="L4" s="50">
        <f>K4*24*60</f>
        <v/>
      </c>
      <c r="M4" s="53">
        <f>L4/60</f>
        <v/>
      </c>
    </row>
    <row r="5" ht="14.25" customHeight="1">
      <c r="A5" s="49" t="n">
        <v>3</v>
      </c>
      <c r="B5" s="76" t="n"/>
      <c r="C5" s="76" t="n"/>
      <c r="D5" s="74" t="n"/>
      <c r="E5" s="26" t="n"/>
      <c r="F5" s="83" t="n"/>
      <c r="G5" s="77" t="n"/>
      <c r="H5" s="76" t="n"/>
      <c r="I5" s="29" t="n"/>
      <c r="J5" s="83" t="n"/>
      <c r="K5" s="51">
        <f>J5-F5</f>
        <v/>
      </c>
      <c r="L5" s="50">
        <f>K5*24*60</f>
        <v/>
      </c>
      <c r="M5" s="53">
        <f>L5/60</f>
        <v/>
      </c>
    </row>
    <row r="6" ht="15.75" customHeight="1">
      <c r="A6" s="49" t="n">
        <v>4</v>
      </c>
      <c r="B6" s="76" t="n"/>
      <c r="C6" s="76" t="n"/>
      <c r="D6" s="74" t="n"/>
      <c r="E6" s="26" t="n"/>
      <c r="F6" s="83" t="n"/>
      <c r="G6" s="77" t="n"/>
      <c r="H6" s="76" t="n"/>
      <c r="I6" s="29" t="n"/>
      <c r="J6" s="83" t="n"/>
      <c r="K6" s="51">
        <f>J6-F6</f>
        <v/>
      </c>
      <c r="L6" s="50">
        <f>K6*24*60</f>
        <v/>
      </c>
      <c r="M6" s="53">
        <f>L6/60</f>
        <v/>
      </c>
    </row>
    <row r="7" ht="15.75" customHeight="1">
      <c r="A7" s="49" t="n">
        <v>5</v>
      </c>
      <c r="B7" s="74" t="n"/>
      <c r="C7" s="74" t="n"/>
      <c r="D7" s="74" t="n"/>
      <c r="E7" s="74" t="n"/>
      <c r="F7" s="74" t="n"/>
      <c r="G7" s="74" t="n"/>
      <c r="H7" s="74" t="n"/>
      <c r="I7" s="74" t="n"/>
      <c r="J7" s="74" t="n"/>
      <c r="K7" s="51">
        <f>J7-F7</f>
        <v/>
      </c>
      <c r="L7" s="50">
        <f>K7*24*60</f>
        <v/>
      </c>
      <c r="M7" s="53">
        <f>L7/60</f>
        <v/>
      </c>
    </row>
    <row r="8">
      <c r="A8" s="49" t="n">
        <v>6</v>
      </c>
      <c r="B8" s="76" t="n"/>
      <c r="C8" s="83" t="n"/>
      <c r="D8" s="74" t="n"/>
      <c r="E8" s="76" t="n"/>
      <c r="F8" s="83" t="n"/>
      <c r="G8" s="77" t="n"/>
      <c r="H8" s="76" t="n"/>
      <c r="I8" s="29" t="n"/>
      <c r="J8" s="83" t="n"/>
      <c r="K8" s="51">
        <f>J8-F8</f>
        <v/>
      </c>
      <c r="L8" s="50">
        <f>K8*24*60</f>
        <v/>
      </c>
      <c r="M8" s="53">
        <f>L8/60</f>
        <v/>
      </c>
    </row>
    <row r="9">
      <c r="A9" s="49" t="n">
        <v>7</v>
      </c>
      <c r="B9" s="76" t="n"/>
      <c r="C9" s="83" t="n"/>
      <c r="D9" s="74" t="n"/>
      <c r="E9" s="26" t="n"/>
      <c r="F9" s="83" t="n"/>
      <c r="G9" s="77" t="n"/>
      <c r="H9" s="76" t="n"/>
      <c r="I9" s="29" t="n"/>
      <c r="J9" s="83" t="n"/>
      <c r="K9" s="51">
        <f>J9-F9</f>
        <v/>
      </c>
      <c r="L9" s="50">
        <f>K9*24*60</f>
        <v/>
      </c>
      <c r="M9" s="53">
        <f>L9/60</f>
        <v/>
      </c>
    </row>
    <row r="10">
      <c r="A10" s="49" t="n">
        <v>8</v>
      </c>
      <c r="B10" s="76" t="n"/>
      <c r="C10" s="83" t="n"/>
      <c r="D10" s="74" t="n"/>
      <c r="E10" s="26" t="n"/>
      <c r="F10" s="83" t="n"/>
      <c r="G10" s="77" t="n"/>
      <c r="H10" s="76" t="n"/>
      <c r="I10" s="29" t="n"/>
      <c r="J10" s="83" t="n"/>
      <c r="K10" s="51">
        <f>J10-F10</f>
        <v/>
      </c>
      <c r="L10" s="50">
        <f>K10*24*60</f>
        <v/>
      </c>
      <c r="M10" s="53">
        <f>L10/60</f>
        <v/>
      </c>
    </row>
    <row r="11">
      <c r="A11" s="49" t="n">
        <v>9</v>
      </c>
      <c r="B11" s="76" t="n"/>
      <c r="C11" s="83" t="n"/>
      <c r="D11" s="74" t="n"/>
      <c r="E11" s="26" t="n"/>
      <c r="F11" s="83" t="n"/>
      <c r="G11" s="77" t="n"/>
      <c r="H11" s="76" t="n"/>
      <c r="I11" s="29" t="n"/>
      <c r="J11" s="83" t="n"/>
      <c r="K11" s="51">
        <f>J11-F11</f>
        <v/>
      </c>
      <c r="L11" s="50">
        <f>K11*24*60</f>
        <v/>
      </c>
      <c r="M11" s="53">
        <f>L11/60</f>
        <v/>
      </c>
    </row>
    <row r="12">
      <c r="A12" s="49" t="n">
        <v>10</v>
      </c>
      <c r="B12" s="76" t="n"/>
      <c r="C12" s="83" t="n"/>
      <c r="D12" s="74" t="n"/>
      <c r="E12" s="26" t="n"/>
      <c r="F12" s="83" t="n"/>
      <c r="G12" s="77" t="n"/>
      <c r="H12" s="76" t="n"/>
      <c r="I12" s="29" t="n"/>
      <c r="J12" s="83" t="n"/>
      <c r="K12" s="51">
        <f>J12-F12</f>
        <v/>
      </c>
      <c r="L12" s="50">
        <f>K12*24*60</f>
        <v/>
      </c>
      <c r="M12" s="53">
        <f>L12/60</f>
        <v/>
      </c>
    </row>
    <row r="13">
      <c r="A13" s="49" t="n">
        <v>11</v>
      </c>
      <c r="B13" s="76" t="n"/>
      <c r="C13" s="83" t="n"/>
      <c r="D13" s="74" t="n"/>
      <c r="E13" s="26" t="n"/>
      <c r="F13" s="83" t="n"/>
      <c r="G13" s="77" t="n"/>
      <c r="H13" s="76" t="n"/>
      <c r="I13" s="29" t="n"/>
      <c r="J13" s="83" t="n"/>
      <c r="K13" s="51">
        <f>J13-F13</f>
        <v/>
      </c>
      <c r="L13" s="50">
        <f>K13*24*60</f>
        <v/>
      </c>
      <c r="M13" s="53">
        <f>L13/60</f>
        <v/>
      </c>
    </row>
    <row r="14">
      <c r="A14" s="49" t="n">
        <v>12</v>
      </c>
      <c r="B14" s="76" t="n"/>
      <c r="C14" s="83" t="n"/>
      <c r="D14" s="74" t="n"/>
      <c r="E14" s="26" t="n"/>
      <c r="F14" s="83" t="n"/>
      <c r="G14" s="77" t="n"/>
      <c r="H14" s="76" t="n"/>
      <c r="I14" s="29" t="n"/>
      <c r="J14" s="83" t="n"/>
      <c r="K14" s="51">
        <f>J14-F14</f>
        <v/>
      </c>
      <c r="L14" s="50">
        <f>K14*24*60</f>
        <v/>
      </c>
      <c r="M14" s="53">
        <f>L14/60</f>
        <v/>
      </c>
    </row>
    <row r="15">
      <c r="A15" s="49" t="n">
        <v>13</v>
      </c>
      <c r="B15" s="76" t="n"/>
      <c r="C15" s="83" t="n"/>
      <c r="D15" s="74" t="n"/>
      <c r="E15" s="26" t="n"/>
      <c r="F15" s="83" t="n"/>
      <c r="G15" s="77" t="n"/>
      <c r="H15" s="76" t="n"/>
      <c r="I15" s="29" t="n"/>
      <c r="J15" s="83" t="n"/>
      <c r="K15" s="51">
        <f>J15-F15</f>
        <v/>
      </c>
      <c r="L15" s="50">
        <f>K15*24*60</f>
        <v/>
      </c>
      <c r="M15" s="53">
        <f>L15/60</f>
        <v/>
      </c>
    </row>
    <row r="16">
      <c r="A16" s="49" t="n">
        <v>14</v>
      </c>
      <c r="B16" s="76" t="n"/>
      <c r="C16" s="83" t="n"/>
      <c r="D16" s="74" t="n"/>
      <c r="E16" s="26" t="n"/>
      <c r="F16" s="83" t="n"/>
      <c r="G16" s="77" t="n"/>
      <c r="H16" s="76" t="n"/>
      <c r="I16" s="29" t="n"/>
      <c r="J16" s="83" t="n"/>
      <c r="K16" s="51">
        <f>J16-F16</f>
        <v/>
      </c>
      <c r="L16" s="50">
        <f>K16*24*60</f>
        <v/>
      </c>
      <c r="M16" s="53">
        <f>L16/60</f>
        <v/>
      </c>
    </row>
    <row r="17">
      <c r="A17" s="49" t="n">
        <v>15</v>
      </c>
      <c r="B17" s="76" t="n"/>
      <c r="C17" s="83" t="n"/>
      <c r="D17" s="74" t="n"/>
      <c r="E17" s="26" t="n"/>
      <c r="F17" s="83" t="n"/>
      <c r="G17" s="77" t="n"/>
      <c r="H17" s="76" t="n"/>
      <c r="I17" s="29" t="n"/>
      <c r="J17" s="83" t="n"/>
      <c r="K17" s="51">
        <f>J17-F17</f>
        <v/>
      </c>
      <c r="L17" s="50">
        <f>K17*24*60</f>
        <v/>
      </c>
      <c r="M17" s="53">
        <f>L17/60</f>
        <v/>
      </c>
    </row>
    <row r="18">
      <c r="A18" s="49" t="n">
        <v>16</v>
      </c>
      <c r="B18" s="76" t="n"/>
      <c r="C18" s="83" t="n"/>
      <c r="D18" s="74" t="n"/>
      <c r="E18" s="26" t="n"/>
      <c r="F18" s="83" t="n"/>
      <c r="G18" s="77" t="n"/>
      <c r="H18" s="76" t="n"/>
      <c r="I18" s="29" t="n"/>
      <c r="J18" s="83" t="n"/>
      <c r="K18" s="51">
        <f>J18-F18</f>
        <v/>
      </c>
      <c r="L18" s="50">
        <f>K18*24*60</f>
        <v/>
      </c>
      <c r="M18" s="53">
        <f>L18/60</f>
        <v/>
      </c>
    </row>
    <row r="19">
      <c r="A19" s="49" t="n">
        <v>17</v>
      </c>
      <c r="B19" s="76" t="n"/>
      <c r="C19" s="83" t="n"/>
      <c r="D19" s="74" t="n"/>
      <c r="E19" s="26" t="n"/>
      <c r="F19" s="83" t="n"/>
      <c r="H19" s="76" t="n"/>
      <c r="I19" s="29" t="n"/>
      <c r="J19" s="83" t="n"/>
      <c r="K19" s="51">
        <f>J19-F19</f>
        <v/>
      </c>
      <c r="L19" s="50">
        <f>K19*24*60</f>
        <v/>
      </c>
      <c r="M19" s="53">
        <f>L19/60</f>
        <v/>
      </c>
    </row>
    <row r="20">
      <c r="A20" s="49" t="n">
        <v>18</v>
      </c>
      <c r="B20" s="76" t="n"/>
      <c r="C20" s="83" t="n"/>
      <c r="D20" s="74" t="n"/>
      <c r="E20" s="26" t="n"/>
      <c r="F20" s="83" t="n"/>
      <c r="G20" s="77" t="n"/>
      <c r="H20" s="76" t="n"/>
      <c r="I20" s="29" t="n"/>
      <c r="J20" s="83" t="n"/>
      <c r="K20" s="51">
        <f>J20-F20</f>
        <v/>
      </c>
      <c r="L20" s="50">
        <f>K20*24*60</f>
        <v/>
      </c>
      <c r="M20" s="53">
        <f>L20/60</f>
        <v/>
      </c>
    </row>
    <row r="21">
      <c r="A21" s="49" t="n">
        <v>19</v>
      </c>
      <c r="B21" s="76" t="n"/>
      <c r="C21" s="83" t="n"/>
      <c r="D21" s="74" t="n"/>
      <c r="E21" s="26" t="n"/>
      <c r="F21" s="83" t="n"/>
      <c r="G21" s="77" t="n"/>
      <c r="H21" s="76" t="n"/>
      <c r="I21" s="29" t="n"/>
      <c r="J21" s="83" t="n"/>
      <c r="K21" s="51">
        <f>J21-F21</f>
        <v/>
      </c>
      <c r="L21" s="50">
        <f>K21*24*60</f>
        <v/>
      </c>
      <c r="M21" s="53">
        <f>L21/60</f>
        <v/>
      </c>
    </row>
    <row r="22">
      <c r="A22" s="49" t="n">
        <v>20</v>
      </c>
      <c r="B22" s="76" t="n"/>
      <c r="C22" s="83" t="n"/>
      <c r="D22" s="74" t="n"/>
      <c r="E22" s="26" t="n"/>
      <c r="F22" s="83" t="n"/>
      <c r="G22" s="77" t="n"/>
      <c r="H22" s="76" t="n"/>
      <c r="I22" s="29" t="n"/>
      <c r="J22" s="83" t="n"/>
      <c r="K22" s="51">
        <f>J22-F22</f>
        <v/>
      </c>
      <c r="L22" s="50">
        <f>K22*24*60</f>
        <v/>
      </c>
      <c r="M22" s="53">
        <f>L22/60</f>
        <v/>
      </c>
    </row>
    <row r="23">
      <c r="A23" s="49" t="n">
        <v>21</v>
      </c>
      <c r="B23" s="76" t="n"/>
      <c r="C23" s="83" t="n"/>
      <c r="D23" s="74" t="n"/>
      <c r="E23" s="26" t="n"/>
      <c r="F23" s="83" t="n"/>
      <c r="G23" s="77" t="n"/>
      <c r="H23" s="76" t="n"/>
      <c r="I23" s="29" t="n"/>
      <c r="J23" s="83" t="n"/>
      <c r="K23" s="51">
        <f>J23-F23</f>
        <v/>
      </c>
      <c r="L23" s="50">
        <f>K23*24*60</f>
        <v/>
      </c>
      <c r="M23" s="53">
        <f>L23/60</f>
        <v/>
      </c>
    </row>
    <row r="24">
      <c r="A24" s="49" t="n">
        <v>22</v>
      </c>
      <c r="B24" s="76" t="n"/>
      <c r="C24" s="83" t="n"/>
      <c r="D24" s="74" t="n"/>
      <c r="E24" s="26" t="n"/>
      <c r="F24" s="83" t="n"/>
      <c r="G24" s="77" t="n"/>
      <c r="H24" s="76" t="n"/>
      <c r="I24" s="29" t="n"/>
      <c r="J24" s="83" t="n"/>
      <c r="K24" s="51">
        <f>J24-F24</f>
        <v/>
      </c>
      <c r="L24" s="50">
        <f>K24*24*60</f>
        <v/>
      </c>
      <c r="M24" s="53">
        <f>L24/60</f>
        <v/>
      </c>
    </row>
    <row r="25">
      <c r="A25" s="49" t="n">
        <v>23</v>
      </c>
      <c r="B25" s="76" t="n"/>
      <c r="C25" s="83" t="n"/>
      <c r="D25" s="74" t="n"/>
      <c r="E25" s="26" t="n"/>
      <c r="F25" s="83" t="n"/>
      <c r="G25" s="77" t="n"/>
      <c r="H25" s="76" t="n"/>
      <c r="I25" s="29" t="n"/>
      <c r="J25" s="83" t="n"/>
      <c r="K25" s="51">
        <f>J25-F25</f>
        <v/>
      </c>
      <c r="L25" s="50">
        <f>K25*24*60</f>
        <v/>
      </c>
      <c r="M25" s="53">
        <f>L25/60</f>
        <v/>
      </c>
    </row>
    <row r="26">
      <c r="A26" s="49" t="n">
        <v>24</v>
      </c>
      <c r="B26" s="76" t="n"/>
      <c r="C26" s="83" t="n"/>
      <c r="D26" s="74" t="n"/>
      <c r="E26" s="26" t="n"/>
      <c r="F26" s="83" t="n"/>
      <c r="G26" s="77" t="n"/>
      <c r="H26" s="76" t="n"/>
      <c r="I26" s="29" t="n"/>
      <c r="J26" s="83" t="n"/>
      <c r="K26" s="51">
        <f>J26-F26</f>
        <v/>
      </c>
      <c r="L26" s="50">
        <f>K26*24*60</f>
        <v/>
      </c>
      <c r="M26" s="53">
        <f>L26/60</f>
        <v/>
      </c>
    </row>
    <row r="27">
      <c r="A27" s="49" t="n">
        <v>25</v>
      </c>
      <c r="B27" s="76" t="n"/>
      <c r="C27" s="83" t="n"/>
      <c r="D27" s="74" t="n"/>
      <c r="E27" s="26" t="n"/>
      <c r="F27" s="83" t="n"/>
      <c r="G27" s="77" t="n"/>
      <c r="H27" s="76" t="n"/>
      <c r="I27" s="29" t="n"/>
      <c r="J27" s="83" t="n"/>
      <c r="K27" s="51">
        <f>J27-F27</f>
        <v/>
      </c>
      <c r="L27" s="50">
        <f>K27*24*60</f>
        <v/>
      </c>
      <c r="M27" s="53">
        <f>L27/60</f>
        <v/>
      </c>
    </row>
    <row r="28">
      <c r="A28" s="49" t="n">
        <v>26</v>
      </c>
      <c r="B28" s="76" t="n"/>
      <c r="C28" s="83" t="n"/>
      <c r="D28" s="74" t="n"/>
      <c r="E28" s="26" t="n"/>
      <c r="F28" s="83" t="n"/>
      <c r="G28" s="77" t="n"/>
      <c r="H28" s="76" t="n"/>
      <c r="I28" s="29" t="n"/>
      <c r="J28" s="83" t="n"/>
      <c r="K28" s="51">
        <f>J28-F28</f>
        <v/>
      </c>
      <c r="L28" s="50">
        <f>K28*24*60</f>
        <v/>
      </c>
      <c r="M28" s="53">
        <f>L28/60</f>
        <v/>
      </c>
    </row>
    <row r="29">
      <c r="A29" s="49" t="n">
        <v>27</v>
      </c>
      <c r="B29" s="76" t="n"/>
      <c r="C29" s="83" t="n"/>
      <c r="D29" s="74" t="n"/>
      <c r="E29" s="26" t="n"/>
      <c r="F29" s="83" t="n"/>
      <c r="G29" s="77" t="n"/>
      <c r="H29" s="76" t="n"/>
      <c r="I29" s="29" t="n"/>
      <c r="J29" s="83" t="n"/>
      <c r="K29" s="51">
        <f>J29-F29</f>
        <v/>
      </c>
      <c r="L29" s="50">
        <f>K29*24*60</f>
        <v/>
      </c>
      <c r="M29" s="53">
        <f>L29/60</f>
        <v/>
      </c>
    </row>
    <row r="30">
      <c r="A30" s="49" t="n">
        <v>28</v>
      </c>
      <c r="B30" s="76" t="n"/>
      <c r="C30" s="83" t="n"/>
      <c r="D30" s="74" t="n"/>
      <c r="E30" s="26" t="n"/>
      <c r="F30" s="83" t="n"/>
      <c r="G30" s="77" t="n"/>
      <c r="H30" s="76" t="n"/>
      <c r="I30" s="29" t="n"/>
      <c r="J30" s="83" t="n"/>
      <c r="K30" s="51">
        <f>J30-F30</f>
        <v/>
      </c>
      <c r="L30" s="50">
        <f>K30*24*60</f>
        <v/>
      </c>
      <c r="M30" s="53">
        <f>L30/60</f>
        <v/>
      </c>
    </row>
    <row r="31">
      <c r="A31" s="49" t="n">
        <v>29</v>
      </c>
      <c r="B31" s="76" t="n"/>
      <c r="C31" s="76" t="n"/>
      <c r="D31" s="74" t="n"/>
      <c r="E31" s="26" t="n"/>
      <c r="F31" s="83" t="n"/>
      <c r="G31" s="77" t="n"/>
      <c r="H31" s="76" t="n"/>
      <c r="I31" s="29" t="n"/>
      <c r="J31" s="83" t="n"/>
      <c r="K31" s="51">
        <f>J31-F31</f>
        <v/>
      </c>
      <c r="L31" s="50">
        <f>K31*24*60</f>
        <v/>
      </c>
      <c r="M31" s="53">
        <f>L31/60</f>
        <v/>
      </c>
    </row>
    <row r="32">
      <c r="A32" s="49" t="n">
        <v>30</v>
      </c>
      <c r="B32" s="76" t="n"/>
      <c r="C32" s="76" t="n"/>
      <c r="D32" s="74" t="n"/>
      <c r="E32" s="26" t="n"/>
      <c r="F32" s="83" t="n"/>
      <c r="G32" s="77" t="n"/>
      <c r="H32" s="76" t="n"/>
      <c r="I32" s="29" t="n"/>
      <c r="J32" s="83" t="n"/>
      <c r="K32" s="51">
        <f>J32-F32</f>
        <v/>
      </c>
      <c r="L32" s="50">
        <f>K32*24*60</f>
        <v/>
      </c>
      <c r="M32" s="53">
        <f>L32/60</f>
        <v/>
      </c>
    </row>
    <row r="33">
      <c r="A33" s="49" t="n">
        <v>31</v>
      </c>
      <c r="B33" s="76" t="n"/>
      <c r="C33" s="76" t="n"/>
      <c r="D33" s="74" t="n"/>
      <c r="E33" s="26" t="n"/>
      <c r="F33" s="83" t="n"/>
      <c r="G33" s="77" t="n"/>
      <c r="H33" s="76" t="n"/>
      <c r="I33" s="29" t="n"/>
      <c r="J33" s="83" t="n"/>
      <c r="K33" s="51">
        <f>J33-F33</f>
        <v/>
      </c>
      <c r="L33" s="50">
        <f>K33*24*60</f>
        <v/>
      </c>
      <c r="M33" s="53">
        <f>L33/60</f>
        <v/>
      </c>
    </row>
    <row r="34">
      <c r="A34" s="49" t="n">
        <v>32</v>
      </c>
      <c r="B34" s="76" t="n"/>
      <c r="C34" s="76" t="n"/>
      <c r="D34" s="74" t="n"/>
      <c r="E34" s="26" t="n"/>
      <c r="F34" s="83" t="n"/>
      <c r="G34" s="77" t="n"/>
      <c r="H34" s="76" t="n"/>
      <c r="I34" s="29" t="n"/>
      <c r="J34" s="83" t="n"/>
      <c r="K34" s="51">
        <f>J34-F34</f>
        <v/>
      </c>
      <c r="L34" s="50">
        <f>K34*24*60</f>
        <v/>
      </c>
      <c r="M34" s="53">
        <f>L34/60</f>
        <v/>
      </c>
    </row>
    <row r="35">
      <c r="A35" s="49" t="n">
        <v>33</v>
      </c>
      <c r="B35" s="76" t="n"/>
      <c r="C35" s="76" t="n"/>
      <c r="D35" s="74" t="n"/>
      <c r="E35" s="26" t="n"/>
      <c r="F35" s="83" t="n"/>
      <c r="G35" s="77" t="n"/>
      <c r="H35" s="76" t="n"/>
      <c r="I35" s="29" t="n"/>
      <c r="J35" s="83" t="n"/>
      <c r="K35" s="51">
        <f>J35-F35</f>
        <v/>
      </c>
      <c r="L35" s="50">
        <f>K35*24*60</f>
        <v/>
      </c>
      <c r="M35" s="53">
        <f>L35/60</f>
        <v/>
      </c>
    </row>
    <row r="36">
      <c r="A36" s="49" t="n">
        <v>34</v>
      </c>
      <c r="B36" s="76" t="n"/>
      <c r="C36" s="76" t="n"/>
      <c r="D36" s="74" t="n"/>
      <c r="E36" s="26" t="n"/>
      <c r="F36" s="83" t="n"/>
      <c r="G36" s="77" t="n"/>
      <c r="H36" s="76" t="n"/>
      <c r="I36" s="29" t="n"/>
      <c r="J36" s="83" t="n"/>
      <c r="K36" s="51">
        <f>J36-F36</f>
        <v/>
      </c>
      <c r="L36" s="50">
        <f>K36*24*60</f>
        <v/>
      </c>
      <c r="M36" s="53">
        <f>L36/60</f>
        <v/>
      </c>
    </row>
    <row r="37">
      <c r="A37" s="49" t="n">
        <v>35</v>
      </c>
      <c r="B37" s="76" t="n"/>
      <c r="C37" s="76" t="n"/>
      <c r="D37" s="74" t="n"/>
      <c r="E37" s="26" t="n"/>
      <c r="F37" s="83" t="n"/>
      <c r="G37" s="77" t="n"/>
      <c r="H37" s="76" t="n"/>
      <c r="I37" s="29" t="n"/>
      <c r="J37" s="83" t="n"/>
      <c r="K37" s="51">
        <f>J37-F37</f>
        <v/>
      </c>
      <c r="L37" s="50">
        <f>K37*24*60</f>
        <v/>
      </c>
      <c r="M37" s="53">
        <f>L37/60</f>
        <v/>
      </c>
    </row>
    <row r="38">
      <c r="A38" s="49" t="n">
        <v>36</v>
      </c>
      <c r="B38" s="76" t="n"/>
      <c r="C38" s="76" t="n"/>
      <c r="D38" s="74" t="n"/>
      <c r="E38" s="26" t="n"/>
      <c r="F38" s="83" t="n"/>
      <c r="G38" s="77" t="n"/>
      <c r="H38" s="76" t="n"/>
      <c r="I38" s="29" t="n"/>
      <c r="J38" s="83" t="n"/>
      <c r="K38" s="51">
        <f>J38-F38</f>
        <v/>
      </c>
      <c r="L38" s="50">
        <f>K38*24*60</f>
        <v/>
      </c>
      <c r="M38" s="53">
        <f>L38/60</f>
        <v/>
      </c>
    </row>
    <row r="39">
      <c r="A39" s="49" t="n">
        <v>37</v>
      </c>
      <c r="B39" s="76" t="n"/>
      <c r="C39" s="76" t="n"/>
      <c r="D39" s="74" t="n"/>
      <c r="E39" s="26" t="n"/>
      <c r="F39" s="83" t="n"/>
      <c r="G39" s="77" t="n"/>
      <c r="H39" s="76" t="n"/>
      <c r="I39" s="29" t="n"/>
      <c r="J39" s="83" t="n"/>
      <c r="K39" s="51">
        <f>J39-F39</f>
        <v/>
      </c>
      <c r="L39" s="50">
        <f>K39*24*60</f>
        <v/>
      </c>
      <c r="M39" s="53">
        <f>L39/60</f>
        <v/>
      </c>
    </row>
    <row r="40">
      <c r="A40" s="49" t="n">
        <v>38</v>
      </c>
      <c r="B40" s="76" t="n"/>
      <c r="C40" s="76" t="n"/>
      <c r="D40" s="74" t="n"/>
      <c r="E40" s="26" t="n"/>
      <c r="F40" s="83" t="n"/>
      <c r="G40" s="77" t="n"/>
      <c r="H40" s="76" t="n"/>
      <c r="I40" s="29" t="n"/>
      <c r="J40" s="83" t="n"/>
      <c r="K40" s="51">
        <f>J40-F40</f>
        <v/>
      </c>
      <c r="L40" s="50">
        <f>K40*24*60</f>
        <v/>
      </c>
      <c r="M40" s="53">
        <f>L40/60</f>
        <v/>
      </c>
    </row>
    <row r="41">
      <c r="A41" s="49" t="n">
        <v>39</v>
      </c>
      <c r="B41" s="76" t="n"/>
      <c r="C41" s="76" t="n"/>
      <c r="D41" s="74" t="n"/>
      <c r="E41" s="26" t="n"/>
      <c r="F41" s="83" t="n"/>
      <c r="G41" s="77" t="n"/>
      <c r="H41" s="76" t="n"/>
      <c r="I41" s="29" t="n"/>
      <c r="J41" s="83" t="n"/>
      <c r="K41" s="51">
        <f>J41-F41</f>
        <v/>
      </c>
      <c r="L41" s="50">
        <f>K41*24*60</f>
        <v/>
      </c>
      <c r="M41" s="53">
        <f>L41/60</f>
        <v/>
      </c>
    </row>
    <row r="42">
      <c r="A42" s="49" t="n">
        <v>40</v>
      </c>
      <c r="B42" s="76" t="n"/>
      <c r="C42" s="76" t="n"/>
      <c r="D42" s="74" t="n"/>
      <c r="E42" s="26" t="n"/>
      <c r="F42" s="83" t="n"/>
      <c r="G42" s="77" t="n"/>
      <c r="H42" s="76" t="n"/>
      <c r="I42" s="29" t="n"/>
      <c r="J42" s="83" t="n"/>
      <c r="K42" s="51">
        <f>J42-F42</f>
        <v/>
      </c>
      <c r="L42" s="50">
        <f>K42*24*60</f>
        <v/>
      </c>
      <c r="M42" s="53">
        <f>L42/60</f>
        <v/>
      </c>
    </row>
    <row r="43">
      <c r="A43" s="49" t="n">
        <v>41</v>
      </c>
      <c r="B43" s="76" t="n"/>
      <c r="C43" s="76" t="n"/>
      <c r="D43" s="74" t="n"/>
      <c r="E43" s="26" t="n"/>
      <c r="F43" s="83" t="n"/>
      <c r="G43" s="77" t="n"/>
      <c r="H43" s="76" t="n"/>
      <c r="I43" s="29" t="n"/>
      <c r="J43" s="83" t="n"/>
      <c r="K43" s="51">
        <f>J43-F43</f>
        <v/>
      </c>
      <c r="L43" s="50">
        <f>K43*24*60</f>
        <v/>
      </c>
      <c r="M43" s="53">
        <f>L43/60</f>
        <v/>
      </c>
    </row>
    <row r="44">
      <c r="A44" s="49" t="n">
        <v>42</v>
      </c>
      <c r="B44" s="76" t="n"/>
      <c r="C44" s="76" t="n"/>
      <c r="D44" s="74" t="n"/>
      <c r="E44" s="26" t="n"/>
      <c r="F44" s="83" t="n"/>
      <c r="G44" s="77" t="n"/>
      <c r="H44" s="76" t="n"/>
      <c r="I44" s="29" t="n"/>
      <c r="J44" s="83" t="n"/>
      <c r="K44" s="51">
        <f>J44-F44</f>
        <v/>
      </c>
      <c r="L44" s="50">
        <f>K44*24*60</f>
        <v/>
      </c>
      <c r="M44" s="53">
        <f>L44/60</f>
        <v/>
      </c>
    </row>
    <row r="45">
      <c r="A45" s="49" t="n">
        <v>43</v>
      </c>
      <c r="B45" s="76" t="n"/>
      <c r="C45" s="76" t="n"/>
      <c r="D45" s="74" t="n"/>
      <c r="E45" s="26" t="n"/>
      <c r="F45" s="83" t="n"/>
      <c r="G45" s="77" t="n"/>
      <c r="H45" s="76" t="n"/>
      <c r="I45" s="29" t="n"/>
      <c r="J45" s="83" t="n"/>
      <c r="K45" s="51">
        <f>J45-F45</f>
        <v/>
      </c>
      <c r="L45" s="50">
        <f>K45*24*60</f>
        <v/>
      </c>
      <c r="M45" s="53">
        <f>L45/60</f>
        <v/>
      </c>
    </row>
    <row r="46">
      <c r="A46" s="49" t="n">
        <v>44</v>
      </c>
      <c r="B46" s="76" t="n"/>
      <c r="C46" s="76" t="n"/>
      <c r="D46" s="74" t="n"/>
      <c r="E46" s="26" t="n"/>
      <c r="F46" s="83" t="n"/>
      <c r="G46" s="77" t="n"/>
      <c r="H46" s="76" t="n"/>
      <c r="I46" s="29" t="n"/>
      <c r="J46" s="83" t="n"/>
      <c r="K46" s="51">
        <f>J46-F46</f>
        <v/>
      </c>
      <c r="L46" s="50">
        <f>K46*24*60</f>
        <v/>
      </c>
      <c r="M46" s="53">
        <f>L46/60</f>
        <v/>
      </c>
    </row>
    <row r="47">
      <c r="A47" s="49" t="n">
        <v>45</v>
      </c>
      <c r="B47" s="76" t="n"/>
      <c r="C47" s="76" t="n"/>
      <c r="D47" s="74" t="n"/>
      <c r="E47" s="26" t="n"/>
      <c r="F47" s="83" t="n"/>
      <c r="G47" s="77" t="n"/>
      <c r="H47" s="76" t="n"/>
      <c r="I47" s="29" t="n"/>
      <c r="J47" s="83" t="n"/>
      <c r="K47" s="51">
        <f>J47-F47</f>
        <v/>
      </c>
      <c r="L47" s="50">
        <f>K47*24*60</f>
        <v/>
      </c>
      <c r="M47" s="53">
        <f>L47/60</f>
        <v/>
      </c>
    </row>
    <row r="48">
      <c r="A48" s="49" t="n">
        <v>46</v>
      </c>
      <c r="B48" s="76" t="n"/>
      <c r="C48" s="76" t="n"/>
      <c r="D48" s="74" t="n"/>
      <c r="E48" s="26" t="n"/>
      <c r="F48" s="83" t="n"/>
      <c r="G48" s="77" t="n"/>
      <c r="H48" s="76" t="n"/>
      <c r="I48" s="29" t="n"/>
      <c r="J48" s="83" t="n"/>
      <c r="K48" s="51">
        <f>J48-F48</f>
        <v/>
      </c>
      <c r="L48" s="50">
        <f>K48*24*60</f>
        <v/>
      </c>
      <c r="M48" s="53">
        <f>L48/60</f>
        <v/>
      </c>
    </row>
    <row r="49">
      <c r="A49" s="49" t="n">
        <v>47</v>
      </c>
      <c r="B49" s="76" t="n"/>
      <c r="C49" s="76" t="n"/>
      <c r="D49" s="74" t="n"/>
      <c r="E49" s="26" t="n"/>
      <c r="F49" s="83" t="n"/>
      <c r="G49" s="77" t="n"/>
      <c r="H49" s="76" t="n"/>
      <c r="I49" s="29" t="n"/>
      <c r="J49" s="83" t="n"/>
      <c r="K49" s="51">
        <f>J49-F49</f>
        <v/>
      </c>
      <c r="L49" s="50">
        <f>K49*24*60</f>
        <v/>
      </c>
      <c r="M49" s="53">
        <f>L49/60</f>
        <v/>
      </c>
    </row>
    <row r="50">
      <c r="A50" s="49" t="n">
        <v>48</v>
      </c>
      <c r="B50" s="76" t="n"/>
      <c r="C50" s="76" t="n"/>
      <c r="D50" s="74" t="n"/>
      <c r="E50" s="26" t="n"/>
      <c r="F50" s="83" t="n"/>
      <c r="G50" s="77" t="n"/>
      <c r="H50" s="76" t="n"/>
      <c r="I50" s="29" t="n"/>
      <c r="J50" s="83" t="n"/>
      <c r="K50" s="51">
        <f>J50-F50</f>
        <v/>
      </c>
      <c r="L50" s="50">
        <f>K50*24*60</f>
        <v/>
      </c>
      <c r="M50" s="53">
        <f>L50/60</f>
        <v/>
      </c>
    </row>
    <row r="51">
      <c r="A51" s="49" t="n">
        <v>49</v>
      </c>
      <c r="B51" s="76" t="n"/>
      <c r="C51" s="76" t="n"/>
      <c r="D51" s="74" t="n"/>
      <c r="E51" s="26" t="n"/>
      <c r="F51" s="83" t="n"/>
      <c r="G51" s="77" t="n"/>
      <c r="H51" s="76" t="n"/>
      <c r="I51" s="29" t="n"/>
      <c r="J51" s="83" t="n"/>
      <c r="K51" s="51">
        <f>J51-F51</f>
        <v/>
      </c>
      <c r="L51" s="50">
        <f>K51*24*60</f>
        <v/>
      </c>
      <c r="M51" s="53">
        <f>L51/60</f>
        <v/>
      </c>
    </row>
    <row r="52">
      <c r="A52" s="49" t="n">
        <v>50</v>
      </c>
      <c r="B52" s="76" t="n"/>
      <c r="C52" s="76" t="n"/>
      <c r="D52" s="74" t="n"/>
      <c r="E52" s="26" t="n"/>
      <c r="F52" s="83" t="n"/>
      <c r="G52" s="77" t="n"/>
      <c r="H52" s="76" t="n"/>
      <c r="I52" s="29" t="n"/>
      <c r="J52" s="83" t="n"/>
      <c r="K52" s="51">
        <f>J52-F52</f>
        <v/>
      </c>
      <c r="L52" s="50">
        <f>K52*24*60</f>
        <v/>
      </c>
      <c r="M52" s="53">
        <f>L52/60</f>
        <v/>
      </c>
    </row>
    <row r="53">
      <c r="A53" s="49" t="n">
        <v>51</v>
      </c>
      <c r="B53" s="76" t="n"/>
      <c r="C53" s="76" t="n"/>
      <c r="D53" s="74" t="n"/>
      <c r="E53" s="26" t="n"/>
      <c r="F53" s="83" t="n"/>
      <c r="G53" s="77" t="n"/>
      <c r="H53" s="76" t="n"/>
      <c r="I53" s="29" t="n"/>
      <c r="J53" s="83" t="n"/>
      <c r="K53" s="51">
        <f>J53-F53</f>
        <v/>
      </c>
      <c r="L53" s="50">
        <f>K53*24*60</f>
        <v/>
      </c>
      <c r="M53" s="53">
        <f>L53/60</f>
        <v/>
      </c>
    </row>
    <row r="54">
      <c r="A54" s="49" t="n">
        <v>52</v>
      </c>
      <c r="B54" s="76" t="n"/>
      <c r="C54" s="76" t="n"/>
      <c r="D54" s="76" t="n"/>
      <c r="E54" s="76" t="n"/>
      <c r="F54" s="83" t="n"/>
      <c r="G54" s="76" t="n"/>
      <c r="H54" s="76" t="n"/>
      <c r="I54" s="76" t="n"/>
      <c r="J54" s="83" t="n"/>
      <c r="K54" s="51">
        <f>J54-F54</f>
        <v/>
      </c>
      <c r="L54" s="50">
        <f>K54*24*60</f>
        <v/>
      </c>
      <c r="M54" s="53">
        <f>L54/60</f>
        <v/>
      </c>
    </row>
    <row r="55">
      <c r="A55" s="49" t="n">
        <v>53</v>
      </c>
      <c r="B55" s="76" t="n"/>
      <c r="C55" s="76" t="n"/>
      <c r="D55" s="75" t="n"/>
      <c r="E55" s="76" t="n"/>
      <c r="F55" s="83" t="n"/>
      <c r="G55" s="76" t="n"/>
      <c r="H55" s="76" t="n"/>
      <c r="I55" s="76" t="n"/>
      <c r="J55" s="83" t="n"/>
      <c r="K55" s="51">
        <f>J55-F55</f>
        <v/>
      </c>
      <c r="L55" s="50">
        <f>K55*24*60</f>
        <v/>
      </c>
      <c r="M55" s="53">
        <f>L55/60</f>
        <v/>
      </c>
    </row>
    <row r="56">
      <c r="A56" s="49" t="n">
        <v>54</v>
      </c>
      <c r="B56" s="76" t="n"/>
      <c r="C56" s="76" t="n"/>
      <c r="D56" s="76" t="n"/>
      <c r="E56" s="76" t="n"/>
      <c r="F56" s="83" t="n"/>
      <c r="G56" s="76" t="n"/>
      <c r="H56" s="76" t="n"/>
      <c r="I56" s="76" t="n"/>
      <c r="J56" s="83" t="n"/>
      <c r="K56" s="51">
        <f>J56-F56</f>
        <v/>
      </c>
      <c r="L56" s="50">
        <f>K56*24*60</f>
        <v/>
      </c>
      <c r="M56" s="53">
        <f>L56/60</f>
        <v/>
      </c>
    </row>
    <row r="57">
      <c r="A57" s="49" t="n">
        <v>55</v>
      </c>
      <c r="B57" s="76" t="n"/>
      <c r="C57" s="76" t="n"/>
      <c r="D57" s="76" t="n"/>
      <c r="E57" s="76" t="n"/>
      <c r="F57" s="83" t="n"/>
      <c r="G57" s="76" t="n"/>
      <c r="H57" s="76" t="n"/>
      <c r="I57" s="76" t="n"/>
      <c r="J57" s="83" t="n"/>
      <c r="K57" s="51">
        <f>J57-F57</f>
        <v/>
      </c>
      <c r="L57" s="50">
        <f>K57*24*60</f>
        <v/>
      </c>
      <c r="M57" s="53">
        <f>L57/60</f>
        <v/>
      </c>
    </row>
    <row r="58">
      <c r="A58" s="49" t="n">
        <v>56</v>
      </c>
      <c r="B58" s="76" t="n"/>
      <c r="C58" s="76" t="n"/>
      <c r="D58" s="76" t="n"/>
      <c r="E58" s="76" t="n"/>
      <c r="F58" s="83" t="n"/>
      <c r="G58" s="76" t="n"/>
      <c r="H58" s="76" t="n"/>
      <c r="I58" s="76" t="n"/>
      <c r="J58" s="83" t="n"/>
      <c r="K58" s="51">
        <f>J58-F58</f>
        <v/>
      </c>
      <c r="L58" s="50">
        <f>K58*24*60</f>
        <v/>
      </c>
      <c r="M58" s="53">
        <f>L58/60</f>
        <v/>
      </c>
    </row>
    <row r="59">
      <c r="A59" s="49" t="n">
        <v>57</v>
      </c>
      <c r="B59" s="76" t="n"/>
      <c r="C59" s="76" t="n"/>
      <c r="D59" s="76" t="n"/>
      <c r="E59" s="76" t="n"/>
      <c r="F59" s="83" t="n"/>
      <c r="G59" s="76" t="n"/>
      <c r="H59" s="76" t="n"/>
      <c r="I59" s="76" t="n"/>
      <c r="J59" s="83" t="n"/>
      <c r="K59" s="51">
        <f>J59-F59</f>
        <v/>
      </c>
      <c r="L59" s="50">
        <f>K59*24*60</f>
        <v/>
      </c>
      <c r="M59" s="53">
        <f>L59/60</f>
        <v/>
      </c>
    </row>
    <row r="60">
      <c r="A60" s="49" t="n">
        <v>58</v>
      </c>
      <c r="B60" s="76" t="n"/>
      <c r="C60" s="76" t="n"/>
      <c r="D60" s="76" t="n"/>
      <c r="E60" s="76" t="n"/>
      <c r="F60" s="83" t="n"/>
      <c r="G60" s="76" t="n"/>
      <c r="H60" s="76" t="n"/>
      <c r="I60" s="76" t="n"/>
      <c r="J60" s="83" t="n"/>
      <c r="K60" s="51">
        <f>J60-F60</f>
        <v/>
      </c>
      <c r="L60" s="50">
        <f>K60*24*60</f>
        <v/>
      </c>
      <c r="M60" s="53">
        <f>L60/60</f>
        <v/>
      </c>
    </row>
    <row r="61">
      <c r="A61" s="49" t="n">
        <v>59</v>
      </c>
      <c r="B61" s="76" t="n"/>
      <c r="C61" s="76" t="n"/>
      <c r="D61" s="76" t="n"/>
      <c r="E61" s="76" t="n"/>
      <c r="F61" s="83" t="n"/>
      <c r="G61" s="76" t="n"/>
      <c r="H61" s="76" t="n"/>
      <c r="I61" s="76" t="n"/>
      <c r="J61" s="83" t="n"/>
      <c r="K61" s="51">
        <f>J61-F61</f>
        <v/>
      </c>
      <c r="L61" s="50">
        <f>K61*24*60</f>
        <v/>
      </c>
      <c r="M61" s="53">
        <f>L61/60</f>
        <v/>
      </c>
    </row>
    <row r="62">
      <c r="A62" s="49" t="n">
        <v>60</v>
      </c>
      <c r="B62" s="76" t="n"/>
      <c r="C62" s="76" t="n"/>
      <c r="D62" s="76" t="n"/>
      <c r="E62" s="76" t="n"/>
      <c r="F62" s="83" t="n"/>
      <c r="G62" s="76" t="n"/>
      <c r="H62" s="76" t="n"/>
      <c r="I62" s="76" t="n"/>
      <c r="J62" s="83" t="n"/>
      <c r="K62" s="51">
        <f>J62-F62</f>
        <v/>
      </c>
      <c r="L62" s="50">
        <f>K62*24*60</f>
        <v/>
      </c>
      <c r="M62" s="53">
        <f>L62/60</f>
        <v/>
      </c>
    </row>
    <row r="63">
      <c r="A63" s="49" t="n">
        <v>61</v>
      </c>
      <c r="B63" s="76" t="n"/>
      <c r="C63" s="76" t="n"/>
      <c r="D63" s="76" t="n"/>
      <c r="E63" s="76" t="n"/>
      <c r="F63" s="83" t="n"/>
      <c r="G63" s="76" t="n"/>
      <c r="H63" s="76" t="n"/>
      <c r="I63" s="76" t="n"/>
      <c r="J63" s="83" t="n"/>
      <c r="K63" s="51">
        <f>J63-F63</f>
        <v/>
      </c>
      <c r="L63" s="50">
        <f>K63*24*60</f>
        <v/>
      </c>
      <c r="M63" s="53">
        <f>L63/60</f>
        <v/>
      </c>
    </row>
    <row r="64">
      <c r="A64" s="49" t="n">
        <v>62</v>
      </c>
      <c r="B64" s="76" t="n"/>
      <c r="C64" s="76" t="n"/>
      <c r="D64" s="76" t="n"/>
      <c r="E64" s="76" t="n"/>
      <c r="F64" s="83" t="n"/>
      <c r="G64" s="76" t="n"/>
      <c r="H64" s="76" t="n"/>
      <c r="I64" s="76" t="n"/>
      <c r="J64" s="83" t="n"/>
      <c r="K64" s="51">
        <f>J64-F64</f>
        <v/>
      </c>
      <c r="L64" s="50">
        <f>K64*24*60</f>
        <v/>
      </c>
      <c r="M64" s="53">
        <f>L64/60</f>
        <v/>
      </c>
    </row>
    <row r="65">
      <c r="A65" s="49" t="n">
        <v>63</v>
      </c>
      <c r="B65" s="76" t="n"/>
      <c r="C65" s="76" t="n"/>
      <c r="D65" s="76" t="n"/>
      <c r="E65" s="76" t="n"/>
      <c r="F65" s="83" t="n"/>
      <c r="G65" s="76" t="n"/>
      <c r="H65" s="76" t="n"/>
      <c r="I65" s="76" t="n"/>
      <c r="J65" s="83" t="n"/>
      <c r="K65" s="51">
        <f>J65-F65</f>
        <v/>
      </c>
      <c r="L65" s="50">
        <f>K65*24*60</f>
        <v/>
      </c>
      <c r="M65" s="53">
        <f>L65/60</f>
        <v/>
      </c>
    </row>
    <row r="66">
      <c r="A66" s="49" t="n">
        <v>64</v>
      </c>
      <c r="B66" s="76" t="n"/>
      <c r="C66" s="76" t="n"/>
      <c r="D66" s="76" t="n"/>
      <c r="E66" s="76" t="n"/>
      <c r="F66" s="83" t="n"/>
      <c r="G66" s="76" t="n"/>
      <c r="H66" s="76" t="n"/>
      <c r="I66" s="76" t="n"/>
      <c r="J66" s="83" t="n"/>
      <c r="K66" s="51">
        <f>J66-F66</f>
        <v/>
      </c>
      <c r="L66" s="50">
        <f>K66*24*60</f>
        <v/>
      </c>
      <c r="M66" s="53">
        <f>L66/60</f>
        <v/>
      </c>
    </row>
    <row r="67">
      <c r="A67" s="49" t="n">
        <v>65</v>
      </c>
      <c r="B67" s="76" t="n"/>
      <c r="C67" s="76" t="n"/>
      <c r="D67" s="76" t="n"/>
      <c r="E67" s="76" t="n"/>
      <c r="F67" s="83" t="n"/>
      <c r="G67" s="76" t="n"/>
      <c r="H67" s="76" t="n"/>
      <c r="I67" s="76" t="n"/>
      <c r="J67" s="83" t="n"/>
      <c r="K67" s="51">
        <f>J67-F67</f>
        <v/>
      </c>
      <c r="L67" s="50">
        <f>K67*24*60</f>
        <v/>
      </c>
      <c r="M67" s="53">
        <f>L67/60</f>
        <v/>
      </c>
    </row>
    <row r="68">
      <c r="A68" s="49" t="n">
        <v>66</v>
      </c>
      <c r="B68" s="76" t="n"/>
      <c r="C68" s="76" t="n"/>
      <c r="D68" s="76" t="n"/>
      <c r="E68" s="76" t="n"/>
      <c r="F68" s="83" t="n"/>
      <c r="G68" s="76" t="n"/>
      <c r="H68" s="76" t="n"/>
      <c r="I68" s="76" t="n"/>
      <c r="J68" s="83" t="n"/>
      <c r="K68" s="51">
        <f>J68-F68</f>
        <v/>
      </c>
      <c r="L68" s="50">
        <f>K68*24*60</f>
        <v/>
      </c>
      <c r="M68" s="53">
        <f>L68/60</f>
        <v/>
      </c>
    </row>
    <row r="69">
      <c r="A69" s="49" t="n">
        <v>67</v>
      </c>
      <c r="B69" s="76" t="n"/>
      <c r="C69" s="76" t="n"/>
      <c r="D69" s="76" t="n"/>
      <c r="E69" s="76" t="n"/>
      <c r="F69" s="83" t="n"/>
      <c r="G69" s="76" t="n"/>
      <c r="H69" s="76" t="n"/>
      <c r="I69" s="76" t="n"/>
      <c r="J69" s="83" t="n"/>
      <c r="K69" s="51">
        <f>J69-F69</f>
        <v/>
      </c>
      <c r="L69" s="50">
        <f>K69*24*60</f>
        <v/>
      </c>
      <c r="M69" s="53">
        <f>L69/60</f>
        <v/>
      </c>
    </row>
    <row r="70">
      <c r="A70" s="49" t="n">
        <v>68</v>
      </c>
      <c r="B70" s="76" t="n"/>
      <c r="C70" s="76" t="n"/>
      <c r="D70" s="76" t="n"/>
      <c r="E70" s="76" t="n"/>
      <c r="F70" s="83" t="n"/>
      <c r="G70" s="76" t="n"/>
      <c r="H70" s="76" t="n"/>
      <c r="I70" s="76" t="n"/>
      <c r="J70" s="83" t="n"/>
      <c r="K70" s="51">
        <f>J70-F70</f>
        <v/>
      </c>
      <c r="L70" s="50">
        <f>K70*24*60</f>
        <v/>
      </c>
      <c r="M70" s="53">
        <f>L70/60</f>
        <v/>
      </c>
    </row>
    <row r="71">
      <c r="A71" s="49" t="n">
        <v>69</v>
      </c>
      <c r="B71" s="76" t="n"/>
      <c r="C71" s="76" t="n"/>
      <c r="D71" s="76" t="n"/>
      <c r="E71" s="76" t="n"/>
      <c r="F71" s="83" t="n"/>
      <c r="G71" s="76" t="n"/>
      <c r="H71" s="76" t="n"/>
      <c r="I71" s="76" t="n"/>
      <c r="J71" s="83" t="n"/>
      <c r="K71" s="51">
        <f>J71-F71</f>
        <v/>
      </c>
      <c r="L71" s="50">
        <f>K71*24*60</f>
        <v/>
      </c>
      <c r="M71" s="53">
        <f>L71/60</f>
        <v/>
      </c>
    </row>
    <row r="72">
      <c r="A72" s="49" t="n">
        <v>70</v>
      </c>
      <c r="B72" s="76" t="n"/>
      <c r="C72" s="76" t="n"/>
      <c r="D72" s="76" t="n"/>
      <c r="E72" s="76" t="n"/>
      <c r="F72" s="83" t="n"/>
      <c r="G72" s="76" t="n"/>
      <c r="H72" s="76" t="n"/>
      <c r="I72" s="76" t="n"/>
      <c r="J72" s="83" t="n"/>
      <c r="K72" s="51">
        <f>J72-F72</f>
        <v/>
      </c>
      <c r="L72" s="50">
        <f>K72*24*60</f>
        <v/>
      </c>
      <c r="M72" s="53">
        <f>L72/60</f>
        <v/>
      </c>
    </row>
    <row r="73">
      <c r="A73" s="49" t="n">
        <v>71</v>
      </c>
      <c r="B73" s="76" t="n"/>
      <c r="C73" s="76" t="n"/>
      <c r="D73" s="76" t="n"/>
      <c r="E73" s="76" t="n"/>
      <c r="F73" s="83" t="n"/>
      <c r="G73" s="76" t="n"/>
      <c r="H73" s="76" t="n"/>
      <c r="I73" s="76" t="n"/>
      <c r="J73" s="83" t="n"/>
      <c r="K73" s="51">
        <f>J73-F73</f>
        <v/>
      </c>
      <c r="L73" s="50">
        <f>K73*24*60</f>
        <v/>
      </c>
      <c r="M73" s="53">
        <f>L73/60</f>
        <v/>
      </c>
    </row>
    <row r="74">
      <c r="A74" s="49" t="n">
        <v>72</v>
      </c>
      <c r="B74" s="76" t="n"/>
      <c r="C74" s="76" t="n"/>
      <c r="D74" s="76" t="n"/>
      <c r="E74" s="76" t="n"/>
      <c r="F74" s="83" t="n"/>
      <c r="G74" s="76" t="n"/>
      <c r="H74" s="76" t="n"/>
      <c r="I74" s="76" t="n"/>
      <c r="J74" s="83" t="n"/>
      <c r="K74" s="51">
        <f>J74-F74</f>
        <v/>
      </c>
      <c r="L74" s="50">
        <f>K74*24*60</f>
        <v/>
      </c>
      <c r="M74" s="53">
        <f>L74/60</f>
        <v/>
      </c>
    </row>
    <row r="75">
      <c r="A75" s="49" t="n">
        <v>73</v>
      </c>
      <c r="B75" s="76" t="n"/>
      <c r="C75" s="76" t="n"/>
      <c r="D75" s="76" t="n"/>
      <c r="E75" s="76" t="n"/>
      <c r="F75" s="83" t="n"/>
      <c r="G75" s="76" t="n"/>
      <c r="H75" s="76" t="n"/>
      <c r="I75" s="76" t="n"/>
      <c r="J75" s="83" t="n"/>
      <c r="K75" s="51">
        <f>J75-F75</f>
        <v/>
      </c>
      <c r="L75" s="50">
        <f>K75*24*60</f>
        <v/>
      </c>
      <c r="M75" s="53">
        <f>L75/60</f>
        <v/>
      </c>
    </row>
    <row r="76">
      <c r="A76" s="49" t="n">
        <v>74</v>
      </c>
      <c r="B76" s="76" t="n"/>
      <c r="C76" s="76" t="n"/>
      <c r="D76" s="76" t="n"/>
      <c r="E76" s="76" t="n"/>
      <c r="F76" s="83" t="n"/>
      <c r="G76" s="76" t="n"/>
      <c r="H76" s="76" t="n"/>
      <c r="I76" s="76" t="n"/>
      <c r="J76" s="83" t="n"/>
      <c r="K76" s="51">
        <f>J76-F76</f>
        <v/>
      </c>
      <c r="L76" s="50">
        <f>K76*24*60</f>
        <v/>
      </c>
      <c r="M76" s="53">
        <f>L76/60</f>
        <v/>
      </c>
    </row>
    <row r="77">
      <c r="A77" s="49" t="n">
        <v>75</v>
      </c>
      <c r="B77" s="76" t="n"/>
      <c r="C77" s="76" t="n"/>
      <c r="D77" s="76" t="n"/>
      <c r="E77" s="76" t="n"/>
      <c r="F77" s="83" t="n"/>
      <c r="G77" s="76" t="n"/>
      <c r="H77" s="76" t="n"/>
      <c r="I77" s="76" t="n"/>
      <c r="J77" s="83" t="n"/>
      <c r="K77" s="51">
        <f>J77-F77</f>
        <v/>
      </c>
      <c r="L77" s="50">
        <f>K77*24*60</f>
        <v/>
      </c>
      <c r="M77" s="53">
        <f>L77/60</f>
        <v/>
      </c>
    </row>
    <row r="78">
      <c r="A78" s="49" t="n">
        <v>76</v>
      </c>
      <c r="B78" s="76" t="n"/>
      <c r="C78" s="76" t="n"/>
      <c r="D78" s="76" t="n"/>
      <c r="E78" s="76" t="n"/>
      <c r="F78" s="83" t="n"/>
      <c r="G78" s="76" t="n"/>
      <c r="H78" s="76" t="n"/>
      <c r="I78" s="76" t="n"/>
      <c r="J78" s="83" t="n"/>
      <c r="K78" s="51">
        <f>J78-F78</f>
        <v/>
      </c>
      <c r="L78" s="50">
        <f>K78*24*60</f>
        <v/>
      </c>
      <c r="M78" s="53">
        <f>L78/60</f>
        <v/>
      </c>
    </row>
    <row r="79">
      <c r="A79" s="49" t="n">
        <v>77</v>
      </c>
      <c r="B79" s="76" t="n"/>
      <c r="C79" s="76" t="n"/>
      <c r="D79" s="76" t="n"/>
      <c r="E79" s="76" t="n"/>
      <c r="F79" s="83" t="n"/>
      <c r="G79" s="76" t="n"/>
      <c r="H79" s="76" t="n"/>
      <c r="I79" s="76" t="n"/>
      <c r="J79" s="83" t="n"/>
      <c r="K79" s="51">
        <f>J79-F79</f>
        <v/>
      </c>
      <c r="L79" s="50">
        <f>K79*24*60</f>
        <v/>
      </c>
      <c r="M79" s="53">
        <f>L79/60</f>
        <v/>
      </c>
    </row>
    <row r="80">
      <c r="A80" s="49" t="n">
        <v>78</v>
      </c>
      <c r="B80" s="76" t="n"/>
      <c r="C80" s="76" t="n"/>
      <c r="D80" s="76" t="n"/>
      <c r="E80" s="76" t="n"/>
      <c r="F80" s="83" t="n"/>
      <c r="G80" s="76" t="n"/>
      <c r="H80" s="76" t="n"/>
      <c r="I80" s="76" t="n"/>
      <c r="J80" s="83" t="n"/>
      <c r="K80" s="51">
        <f>J80-F80</f>
        <v/>
      </c>
      <c r="L80" s="50">
        <f>K80*24*60</f>
        <v/>
      </c>
      <c r="M80" s="53">
        <f>L80/60</f>
        <v/>
      </c>
    </row>
    <row r="81">
      <c r="A81" s="49" t="n">
        <v>79</v>
      </c>
      <c r="B81" s="76" t="n"/>
      <c r="C81" s="76" t="n"/>
      <c r="D81" s="76" t="n"/>
      <c r="E81" s="76" t="n"/>
      <c r="F81" s="83" t="n"/>
      <c r="G81" s="76" t="n"/>
      <c r="H81" s="76" t="n"/>
      <c r="I81" s="76" t="n"/>
      <c r="J81" s="83" t="n"/>
      <c r="K81" s="51">
        <f>J81-F81</f>
        <v/>
      </c>
      <c r="L81" s="50">
        <f>K81*24*60</f>
        <v/>
      </c>
      <c r="M81" s="53">
        <f>L81/60</f>
        <v/>
      </c>
    </row>
    <row r="82">
      <c r="A82" s="49" t="n">
        <v>80</v>
      </c>
      <c r="B82" s="76" t="n"/>
      <c r="C82" s="76" t="n"/>
      <c r="D82" s="76" t="n"/>
      <c r="E82" s="76" t="n"/>
      <c r="F82" s="83" t="n"/>
      <c r="G82" s="76" t="n"/>
      <c r="H82" s="76" t="n"/>
      <c r="I82" s="76" t="n"/>
      <c r="J82" s="83" t="n"/>
      <c r="K82" s="51">
        <f>J82-F82</f>
        <v/>
      </c>
      <c r="L82" s="50">
        <f>K82*24*60</f>
        <v/>
      </c>
      <c r="M82" s="53">
        <f>L82/60</f>
        <v/>
      </c>
    </row>
    <row r="83">
      <c r="A83" s="49" t="n">
        <v>81</v>
      </c>
      <c r="B83" s="76" t="n"/>
      <c r="C83" s="76" t="n"/>
      <c r="D83" s="76" t="n"/>
      <c r="E83" s="76" t="n"/>
      <c r="F83" s="83" t="n"/>
      <c r="G83" s="76" t="n"/>
      <c r="H83" s="76" t="n"/>
      <c r="I83" s="76" t="n"/>
      <c r="J83" s="83" t="n"/>
      <c r="K83" s="51">
        <f>J83-F83</f>
        <v/>
      </c>
      <c r="L83" s="50">
        <f>K83*24*60</f>
        <v/>
      </c>
      <c r="M83" s="53">
        <f>L83/60</f>
        <v/>
      </c>
    </row>
    <row r="84">
      <c r="A84" s="49" t="n">
        <v>82</v>
      </c>
      <c r="B84" s="76" t="n"/>
      <c r="C84" s="76" t="n"/>
      <c r="D84" s="76" t="n"/>
      <c r="E84" s="76" t="n"/>
      <c r="F84" s="83" t="n"/>
      <c r="G84" s="76" t="n"/>
      <c r="H84" s="76" t="n"/>
      <c r="I84" s="76" t="n"/>
      <c r="J84" s="83" t="n"/>
      <c r="K84" s="51">
        <f>J84-F84</f>
        <v/>
      </c>
      <c r="L84" s="50">
        <f>K84*24*60</f>
        <v/>
      </c>
      <c r="M84" s="53">
        <f>L84/60</f>
        <v/>
      </c>
    </row>
    <row r="85">
      <c r="A85" s="49" t="n">
        <v>83</v>
      </c>
      <c r="B85" s="76" t="n"/>
      <c r="C85" s="76" t="n"/>
      <c r="D85" s="76" t="n"/>
      <c r="E85" s="76" t="n"/>
      <c r="F85" s="83" t="n"/>
      <c r="G85" s="76" t="n"/>
      <c r="H85" s="76" t="n"/>
      <c r="I85" s="76" t="n"/>
      <c r="J85" s="83" t="n"/>
      <c r="K85" s="51">
        <f>J85-F85</f>
        <v/>
      </c>
      <c r="L85" s="50">
        <f>K85*24*60</f>
        <v/>
      </c>
      <c r="M85" s="53">
        <f>L85/60</f>
        <v/>
      </c>
    </row>
    <row r="86">
      <c r="A86" s="49" t="n">
        <v>84</v>
      </c>
      <c r="B86" s="76" t="n"/>
      <c r="C86" s="76" t="n"/>
      <c r="D86" s="76" t="n"/>
      <c r="E86" s="76" t="n"/>
      <c r="F86" s="83" t="n"/>
      <c r="G86" s="76" t="n"/>
      <c r="H86" s="76" t="n"/>
      <c r="I86" s="76" t="n"/>
      <c r="J86" s="83" t="n"/>
      <c r="K86" s="51">
        <f>J86-F86</f>
        <v/>
      </c>
      <c r="L86" s="50">
        <f>K86*24*60</f>
        <v/>
      </c>
      <c r="M86" s="53">
        <f>L86/60</f>
        <v/>
      </c>
    </row>
    <row r="87">
      <c r="A87" s="49" t="n">
        <v>85</v>
      </c>
      <c r="B87" s="76" t="n"/>
      <c r="C87" s="76" t="n"/>
      <c r="D87" s="76" t="n"/>
      <c r="E87" s="76" t="n"/>
      <c r="F87" s="76" t="n"/>
      <c r="G87" s="76" t="n"/>
      <c r="H87" s="76" t="n"/>
      <c r="I87" s="76" t="n"/>
      <c r="J87" s="83" t="n"/>
      <c r="K87" s="51">
        <f>J87-F87</f>
        <v/>
      </c>
      <c r="L87" s="50">
        <f>K87*24*60</f>
        <v/>
      </c>
      <c r="M87" s="53">
        <f>L87/60</f>
        <v/>
      </c>
    </row>
    <row r="88">
      <c r="A88" s="49" t="n">
        <v>86</v>
      </c>
      <c r="B88" s="76" t="n"/>
      <c r="C88" s="76" t="n"/>
      <c r="D88" s="76" t="n"/>
      <c r="E88" s="76" t="n"/>
      <c r="F88" s="76" t="n"/>
      <c r="G88" s="76" t="n"/>
      <c r="H88" s="76" t="n"/>
      <c r="I88" s="76" t="n"/>
      <c r="J88" s="76" t="n"/>
      <c r="K88" s="51">
        <f>J88-F88</f>
        <v/>
      </c>
      <c r="L88" s="50">
        <f>K88*24*60</f>
        <v/>
      </c>
      <c r="M88" s="53">
        <f>L88/60</f>
        <v/>
      </c>
    </row>
    <row r="89">
      <c r="A89" s="49" t="n">
        <v>87</v>
      </c>
      <c r="B89" s="76" t="n"/>
      <c r="C89" s="76" t="n"/>
      <c r="D89" s="76" t="n"/>
      <c r="E89" s="76" t="n"/>
      <c r="F89" s="76" t="n"/>
      <c r="G89" s="76" t="n"/>
      <c r="H89" s="76" t="n"/>
      <c r="I89" s="76" t="n"/>
      <c r="J89" s="76" t="n"/>
      <c r="K89" s="51">
        <f>J89-F89</f>
        <v/>
      </c>
      <c r="L89" s="50">
        <f>K89*24*60</f>
        <v/>
      </c>
      <c r="M89" s="53">
        <f>L89/60</f>
        <v/>
      </c>
    </row>
    <row r="90">
      <c r="A90" s="49" t="n">
        <v>88</v>
      </c>
      <c r="B90" s="76" t="n"/>
      <c r="C90" s="76" t="n"/>
      <c r="D90" s="76" t="n"/>
      <c r="E90" s="76" t="n"/>
      <c r="F90" s="76" t="n"/>
      <c r="G90" s="76" t="n"/>
      <c r="H90" s="76" t="n"/>
      <c r="I90" s="76" t="n"/>
      <c r="J90" s="76" t="n"/>
      <c r="K90" s="51">
        <f>J90-F90</f>
        <v/>
      </c>
      <c r="L90" s="50">
        <f>K90*24*60</f>
        <v/>
      </c>
      <c r="M90" s="53">
        <f>L90/60</f>
        <v/>
      </c>
    </row>
    <row r="91">
      <c r="A91" s="49" t="n">
        <v>89</v>
      </c>
      <c r="B91" s="76" t="n"/>
      <c r="C91" s="76" t="n"/>
      <c r="D91" s="76" t="n"/>
      <c r="E91" s="76" t="n"/>
      <c r="F91" s="76" t="n"/>
      <c r="G91" s="76" t="n"/>
      <c r="H91" s="76" t="n"/>
      <c r="I91" s="76" t="n"/>
      <c r="J91" s="76" t="n"/>
      <c r="K91" s="51">
        <f>J91-F91</f>
        <v/>
      </c>
      <c r="L91" s="50">
        <f>K91*24*60</f>
        <v/>
      </c>
      <c r="M91" s="53">
        <f>L91/60</f>
        <v/>
      </c>
    </row>
    <row r="92">
      <c r="A92" s="49" t="n">
        <v>90</v>
      </c>
      <c r="B92" s="76" t="n"/>
      <c r="C92" s="76" t="n"/>
      <c r="D92" s="76" t="n"/>
      <c r="E92" s="76" t="n"/>
      <c r="F92" s="76" t="n"/>
      <c r="G92" s="76" t="n"/>
      <c r="H92" s="76" t="n"/>
      <c r="I92" s="76" t="n"/>
      <c r="J92" s="76" t="n"/>
      <c r="K92" s="51">
        <f>J92-F92</f>
        <v/>
      </c>
      <c r="L92" s="50">
        <f>K92*24*60</f>
        <v/>
      </c>
      <c r="M92" s="53">
        <f>L92/60</f>
        <v/>
      </c>
    </row>
    <row r="93">
      <c r="A93" s="49" t="n">
        <v>91</v>
      </c>
      <c r="B93" s="76" t="n"/>
      <c r="C93" s="76" t="n"/>
      <c r="D93" s="76" t="n"/>
      <c r="E93" s="76" t="n"/>
      <c r="F93" s="76" t="n"/>
      <c r="G93" s="76" t="n"/>
      <c r="H93" s="76" t="n"/>
      <c r="I93" s="76" t="n"/>
      <c r="J93" s="76" t="n"/>
      <c r="K93" s="51">
        <f>J93-F93</f>
        <v/>
      </c>
      <c r="L93" s="50">
        <f>K93*24*60</f>
        <v/>
      </c>
      <c r="M93" s="53">
        <f>L93/60</f>
        <v/>
      </c>
    </row>
    <row r="94">
      <c r="A94" s="49" t="n">
        <v>92</v>
      </c>
      <c r="B94" s="76" t="n"/>
      <c r="C94" s="76" t="n"/>
      <c r="D94" s="76" t="n"/>
      <c r="E94" s="76" t="n"/>
      <c r="F94" s="76" t="n"/>
      <c r="G94" s="76" t="n"/>
      <c r="H94" s="76" t="n"/>
      <c r="I94" s="76" t="n"/>
      <c r="J94" s="76" t="n"/>
      <c r="K94" s="51">
        <f>J94-F94</f>
        <v/>
      </c>
      <c r="L94" s="50">
        <f>K94*24*60</f>
        <v/>
      </c>
      <c r="M94" s="53">
        <f>L94/60</f>
        <v/>
      </c>
    </row>
    <row r="95">
      <c r="A95" s="49" t="n">
        <v>93</v>
      </c>
      <c r="B95" s="76" t="n"/>
      <c r="C95" s="76" t="n"/>
      <c r="D95" s="76" t="n"/>
      <c r="E95" s="76" t="n"/>
      <c r="F95" s="76" t="n"/>
      <c r="G95" s="76" t="n"/>
      <c r="H95" s="76" t="n"/>
      <c r="I95" s="76" t="n"/>
      <c r="J95" s="76" t="n"/>
      <c r="K95" s="51">
        <f>J95-F95</f>
        <v/>
      </c>
      <c r="L95" s="50">
        <f>K95*24*60</f>
        <v/>
      </c>
      <c r="M95" s="53">
        <f>L95/60</f>
        <v/>
      </c>
    </row>
    <row r="96">
      <c r="A96" s="49" t="n">
        <v>94</v>
      </c>
      <c r="B96" s="76" t="n"/>
      <c r="C96" s="76" t="n"/>
      <c r="D96" s="76" t="n"/>
      <c r="E96" s="76" t="n"/>
      <c r="F96" s="76" t="n"/>
      <c r="G96" s="76" t="n"/>
      <c r="H96" s="76" t="n"/>
      <c r="I96" s="76" t="n"/>
      <c r="J96" s="76" t="n"/>
      <c r="K96" s="51">
        <f>J96-F96</f>
        <v/>
      </c>
      <c r="L96" s="50">
        <f>K96*24*60</f>
        <v/>
      </c>
      <c r="M96" s="53">
        <f>L96/60</f>
        <v/>
      </c>
    </row>
    <row r="97">
      <c r="A97" s="49" t="n">
        <v>95</v>
      </c>
      <c r="B97" s="76" t="n"/>
      <c r="C97" s="76" t="n"/>
      <c r="D97" s="76" t="n"/>
      <c r="E97" s="76" t="n"/>
      <c r="F97" s="76" t="n"/>
      <c r="G97" s="76" t="n"/>
      <c r="H97" s="76" t="n"/>
      <c r="I97" s="76" t="n"/>
      <c r="J97" s="76" t="n"/>
      <c r="K97" s="51">
        <f>J97-F97</f>
        <v/>
      </c>
      <c r="L97" s="50">
        <f>K97*24*60</f>
        <v/>
      </c>
      <c r="M97" s="53">
        <f>L97/60</f>
        <v/>
      </c>
    </row>
    <row r="98">
      <c r="A98" s="49" t="n">
        <v>96</v>
      </c>
      <c r="B98" s="76" t="n"/>
      <c r="C98" s="76" t="n"/>
      <c r="D98" s="76" t="n"/>
      <c r="E98" s="76" t="n"/>
      <c r="F98" s="76" t="n"/>
      <c r="G98" s="76" t="n"/>
      <c r="H98" s="76" t="n"/>
      <c r="I98" s="76" t="n"/>
      <c r="J98" s="76" t="n"/>
      <c r="K98" s="51">
        <f>J98-F98</f>
        <v/>
      </c>
      <c r="L98" s="50">
        <f>K98*24*60</f>
        <v/>
      </c>
      <c r="M98" s="53">
        <f>L98/60</f>
        <v/>
      </c>
    </row>
    <row r="99">
      <c r="A99" s="49" t="n">
        <v>97</v>
      </c>
      <c r="B99" s="76" t="n"/>
      <c r="C99" s="76" t="n"/>
      <c r="D99" s="76" t="n"/>
      <c r="E99" s="76" t="n"/>
      <c r="F99" s="76" t="n"/>
      <c r="G99" s="76" t="n"/>
      <c r="H99" s="76" t="n"/>
      <c r="I99" s="76" t="n"/>
      <c r="J99" s="76" t="n"/>
      <c r="K99" s="51">
        <f>J99-F99</f>
        <v/>
      </c>
      <c r="L99" s="50">
        <f>K99*24*60</f>
        <v/>
      </c>
      <c r="M99" s="53">
        <f>L99/60</f>
        <v/>
      </c>
    </row>
    <row r="100">
      <c r="A100" s="49" t="n">
        <v>98</v>
      </c>
      <c r="B100" s="76" t="n"/>
      <c r="C100" s="76" t="n"/>
      <c r="D100" s="76" t="n"/>
      <c r="E100" s="76" t="n"/>
      <c r="F100" s="76" t="n"/>
      <c r="G100" s="76" t="n"/>
      <c r="H100" s="76" t="n"/>
      <c r="I100" s="76" t="n"/>
      <c r="J100" s="76" t="n"/>
      <c r="K100" s="51">
        <f>J100-F100</f>
        <v/>
      </c>
      <c r="L100" s="50">
        <f>K100*24*60</f>
        <v/>
      </c>
      <c r="M100" s="53">
        <f>L100/60</f>
        <v/>
      </c>
    </row>
  </sheetData>
  <mergeCells count="1">
    <mergeCell ref="A1:M1"/>
  </mergeCells>
  <dataValidations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11.xml><?xml version="1.0" encoding="utf-8"?>
<worksheet xmlns="http://schemas.openxmlformats.org/spreadsheetml/2006/main">
  <sheetPr>
    <outlinePr summaryBelow="1" summaryRight="1"/>
    <pageSetUpPr/>
  </sheetPr>
  <dimension ref="A1:M100"/>
  <sheetViews>
    <sheetView zoomScale="86" zoomScaleNormal="86" workbookViewId="0">
      <pane ySplit="2" topLeftCell="A3" activePane="bottomLeft" state="frozen"/>
      <selection pane="bottomLeft" activeCell="G42" sqref="G42"/>
      <selection activeCell="G42" sqref="G42"/>
    </sheetView>
  </sheetViews>
  <sheetFormatPr baseColWidth="8" defaultColWidth="0" defaultRowHeight="14.45"/>
  <cols>
    <col width="11.42578125" customWidth="1" style="24" min="1" max="1"/>
    <col width="26.28515625" customWidth="1" style="24" min="2" max="3"/>
    <col width="18.42578125" customWidth="1" style="24" min="4" max="4"/>
    <col width="28.140625" bestFit="1" customWidth="1" style="24" min="5" max="5"/>
    <col width="20.7109375" customWidth="1" style="24" min="6" max="6"/>
    <col width="33.42578125" customWidth="1" style="24" min="7" max="7"/>
    <col width="19.85546875" customWidth="1" style="24" min="8" max="8"/>
    <col width="22.5703125" customWidth="1" style="24" min="9" max="9"/>
    <col width="20" customWidth="1" style="24" min="10" max="10"/>
    <col width="19.5703125" customWidth="1" style="24" min="11" max="11"/>
    <col width="10.7109375" customWidth="1" style="24" min="12" max="13"/>
    <col width="6" customWidth="1" style="24" min="14" max="14"/>
    <col hidden="1" style="24" min="15" max="16384"/>
  </cols>
  <sheetData>
    <row r="1" ht="36" customFormat="1" customHeight="1" s="82" thickBot="1">
      <c r="A1" s="329" t="inlineStr">
        <is>
          <t>Planilla Control de Eventos Intranet</t>
        </is>
      </c>
      <c r="B1" s="359" t="n"/>
      <c r="C1" s="359" t="n"/>
      <c r="D1" s="359" t="n"/>
      <c r="E1" s="359" t="n"/>
      <c r="F1" s="359" t="n"/>
      <c r="G1" s="359" t="n"/>
      <c r="H1" s="359" t="n"/>
      <c r="I1" s="359" t="n"/>
      <c r="J1" s="359" t="n"/>
      <c r="K1" s="359" t="n"/>
      <c r="L1" s="359" t="n"/>
      <c r="M1" s="359" t="n"/>
    </row>
    <row r="2" ht="42.75" customFormat="1" customHeight="1" s="82" thickBot="1" thickTop="1">
      <c r="A2" s="45" t="inlineStr">
        <is>
          <t>Item</t>
        </is>
      </c>
      <c r="B2" s="45" t="inlineStr">
        <is>
          <t>Elemento</t>
        </is>
      </c>
      <c r="C2" s="45" t="inlineStr">
        <is>
          <t>Analista</t>
        </is>
      </c>
      <c r="D2" s="46" t="inlineStr">
        <is>
          <t>Numero de Ticket</t>
        </is>
      </c>
      <c r="E2" s="46" t="inlineStr">
        <is>
          <t>Descripcion del Evento</t>
        </is>
      </c>
      <c r="F2" s="46" t="inlineStr">
        <is>
          <t xml:space="preserve">Fecha/Hora Inicio Evento </t>
        </is>
      </c>
      <c r="G2" s="45" t="inlineStr">
        <is>
          <t>Causa</t>
        </is>
      </c>
      <c r="H2" s="45" t="inlineStr">
        <is>
          <t>Areas Involucradas</t>
        </is>
      </c>
      <c r="I2" s="46" t="inlineStr">
        <is>
          <t>Solucion</t>
        </is>
      </c>
      <c r="J2" s="46" t="inlineStr">
        <is>
          <t xml:space="preserve">Fecha/Hora Fin Evento </t>
        </is>
      </c>
      <c r="K2" s="46" t="inlineStr">
        <is>
          <t>Tiempo Total</t>
        </is>
      </c>
      <c r="L2" s="111" t="inlineStr">
        <is>
          <t>Tiempo Minutos</t>
        </is>
      </c>
      <c r="M2" s="108" t="inlineStr">
        <is>
          <t>Tiempo en Horas</t>
        </is>
      </c>
    </row>
    <row r="3" ht="15.75" customHeight="1" thickTop="1">
      <c r="A3" s="84" t="n">
        <v>1</v>
      </c>
      <c r="B3" s="103" t="n"/>
      <c r="C3" s="103" t="n"/>
      <c r="D3" s="103" t="n"/>
      <c r="E3" s="104" t="n"/>
      <c r="F3" s="105" t="n"/>
      <c r="G3" s="102" t="n"/>
      <c r="H3" s="99" t="n"/>
      <c r="I3" s="102" t="n"/>
      <c r="J3" s="106" t="n"/>
      <c r="K3" s="51">
        <f>J3-F3</f>
        <v/>
      </c>
      <c r="L3" s="50">
        <f>K3*24*60</f>
        <v/>
      </c>
      <c r="M3" s="73">
        <f>L3/60</f>
        <v/>
      </c>
    </row>
    <row r="4">
      <c r="A4" s="49" t="n">
        <v>2</v>
      </c>
      <c r="B4" s="76" t="n"/>
      <c r="C4" s="76" t="n"/>
      <c r="D4" s="74" t="n"/>
      <c r="E4" s="76" t="n"/>
      <c r="F4" s="83" t="n"/>
      <c r="G4" s="77" t="n"/>
      <c r="H4" s="76" t="n"/>
      <c r="I4" s="29" t="n"/>
      <c r="J4" s="83" t="n"/>
      <c r="K4" s="51">
        <f>J4-F4</f>
        <v/>
      </c>
      <c r="L4" s="50">
        <f>K4*24*60</f>
        <v/>
      </c>
      <c r="M4" s="73">
        <f>L4/60</f>
        <v/>
      </c>
    </row>
    <row r="5" ht="14.25" customHeight="1">
      <c r="A5" s="49" t="n">
        <v>3</v>
      </c>
      <c r="B5" s="76" t="n"/>
      <c r="C5" s="76" t="n"/>
      <c r="D5" s="74" t="n"/>
      <c r="E5" s="26" t="n"/>
      <c r="F5" s="83" t="n"/>
      <c r="G5" s="77" t="n"/>
      <c r="H5" s="76" t="n"/>
      <c r="I5" s="29" t="n"/>
      <c r="J5" s="83" t="n"/>
      <c r="K5" s="51">
        <f>J5-F5</f>
        <v/>
      </c>
      <c r="L5" s="50">
        <f>K5*24*60</f>
        <v/>
      </c>
      <c r="M5" s="73">
        <f>L5/60</f>
        <v/>
      </c>
    </row>
    <row r="6" ht="15.75" customHeight="1">
      <c r="A6" s="49" t="n">
        <v>4</v>
      </c>
      <c r="B6" s="76" t="n"/>
      <c r="C6" s="76" t="n"/>
      <c r="D6" s="74" t="n"/>
      <c r="E6" s="26" t="n"/>
      <c r="F6" s="83" t="n"/>
      <c r="G6" s="77" t="n"/>
      <c r="H6" s="76" t="n"/>
      <c r="I6" s="29" t="n"/>
      <c r="J6" s="83" t="n"/>
      <c r="K6" s="51">
        <f>J6-F6</f>
        <v/>
      </c>
      <c r="L6" s="50">
        <f>K6*24*60</f>
        <v/>
      </c>
      <c r="M6" s="73">
        <f>L6/60</f>
        <v/>
      </c>
    </row>
    <row r="7" ht="15.75" customHeight="1">
      <c r="A7" s="49" t="n">
        <v>5</v>
      </c>
      <c r="B7" s="76" t="n"/>
      <c r="C7" s="76" t="n"/>
      <c r="D7" s="74" t="n"/>
      <c r="E7" s="76" t="n"/>
      <c r="F7" s="83" t="n"/>
      <c r="G7" s="77" t="n"/>
      <c r="H7" s="76" t="n"/>
      <c r="I7" s="29" t="n"/>
      <c r="J7" s="83" t="n"/>
      <c r="K7" s="51">
        <f>J7-F7</f>
        <v/>
      </c>
      <c r="L7" s="50">
        <f>K7*24*60</f>
        <v/>
      </c>
      <c r="M7" s="73">
        <f>L7/60</f>
        <v/>
      </c>
    </row>
    <row r="8">
      <c r="A8" s="49" t="n">
        <v>6</v>
      </c>
      <c r="B8" s="76" t="n"/>
      <c r="C8" s="76" t="n"/>
      <c r="D8" s="74" t="n"/>
      <c r="E8" s="76" t="n"/>
      <c r="F8" s="83" t="n"/>
      <c r="G8" s="77" t="n"/>
      <c r="H8" s="76" t="n"/>
      <c r="I8" s="29" t="n"/>
      <c r="J8" s="83" t="n"/>
      <c r="K8" s="51">
        <f>J8-F8</f>
        <v/>
      </c>
      <c r="L8" s="50">
        <f>K8*24*60</f>
        <v/>
      </c>
      <c r="M8" s="73">
        <f>L8/60</f>
        <v/>
      </c>
    </row>
    <row r="9">
      <c r="A9" s="49" t="n">
        <v>7</v>
      </c>
      <c r="B9" s="76" t="n"/>
      <c r="C9" s="76" t="n"/>
      <c r="D9" s="74" t="n"/>
      <c r="E9" s="26" t="n"/>
      <c r="F9" s="83" t="n"/>
      <c r="G9" s="77" t="n"/>
      <c r="H9" s="76" t="n"/>
      <c r="I9" s="29" t="n"/>
      <c r="J9" s="83" t="n"/>
      <c r="K9" s="51">
        <f>J9-F9</f>
        <v/>
      </c>
      <c r="L9" s="50">
        <f>K9*24*60</f>
        <v/>
      </c>
      <c r="M9" s="73">
        <f>L9/60</f>
        <v/>
      </c>
    </row>
    <row r="10">
      <c r="A10" s="49" t="n">
        <v>8</v>
      </c>
      <c r="B10" s="76" t="n"/>
      <c r="C10" s="76" t="n"/>
      <c r="D10" s="74" t="n"/>
      <c r="E10" s="26" t="n"/>
      <c r="F10" s="83" t="n"/>
      <c r="G10" s="77" t="n"/>
      <c r="H10" s="76" t="n"/>
      <c r="I10" s="29" t="n"/>
      <c r="J10" s="83" t="n"/>
      <c r="K10" s="51">
        <f>J10-F10</f>
        <v/>
      </c>
      <c r="L10" s="50">
        <f>K10*24*60</f>
        <v/>
      </c>
      <c r="M10" s="73">
        <f>L10/60</f>
        <v/>
      </c>
    </row>
    <row r="11">
      <c r="A11" s="49" t="n">
        <v>9</v>
      </c>
      <c r="B11" s="76" t="n"/>
      <c r="C11" s="76" t="n"/>
      <c r="D11" s="74" t="n"/>
      <c r="E11" s="26" t="n"/>
      <c r="F11" s="83" t="n"/>
      <c r="G11" s="77" t="n"/>
      <c r="H11" s="76" t="n"/>
      <c r="I11" s="29" t="n"/>
      <c r="J11" s="83" t="n"/>
      <c r="K11" s="51">
        <f>J11-F11</f>
        <v/>
      </c>
      <c r="L11" s="50">
        <f>K11*24*60</f>
        <v/>
      </c>
      <c r="M11" s="73">
        <f>L11/60</f>
        <v/>
      </c>
    </row>
    <row r="12">
      <c r="A12" s="49" t="n">
        <v>10</v>
      </c>
      <c r="B12" s="76" t="n"/>
      <c r="C12" s="76" t="n"/>
      <c r="D12" s="74" t="n"/>
      <c r="E12" s="26" t="n"/>
      <c r="F12" s="83" t="n"/>
      <c r="G12" s="77" t="n"/>
      <c r="H12" s="76" t="n"/>
      <c r="I12" s="29" t="n"/>
      <c r="J12" s="83" t="n"/>
      <c r="K12" s="51">
        <f>J12-F12</f>
        <v/>
      </c>
      <c r="L12" s="50">
        <f>K12*24*60</f>
        <v/>
      </c>
      <c r="M12" s="73">
        <f>L12/60</f>
        <v/>
      </c>
    </row>
    <row r="13">
      <c r="A13" s="49" t="n">
        <v>11</v>
      </c>
      <c r="B13" s="76" t="n"/>
      <c r="C13" s="76" t="n"/>
      <c r="D13" s="74" t="n"/>
      <c r="E13" s="26" t="n"/>
      <c r="F13" s="83" t="n"/>
      <c r="G13" s="77" t="n"/>
      <c r="H13" s="76" t="n"/>
      <c r="I13" s="29" t="n"/>
      <c r="J13" s="83" t="n"/>
      <c r="K13" s="51">
        <f>J13-F13</f>
        <v/>
      </c>
      <c r="L13" s="50">
        <f>K13*24*60</f>
        <v/>
      </c>
      <c r="M13" s="73">
        <f>L13/60</f>
        <v/>
      </c>
    </row>
    <row r="14">
      <c r="A14" s="49" t="n">
        <v>12</v>
      </c>
      <c r="B14" s="76" t="n"/>
      <c r="C14" s="76" t="n"/>
      <c r="D14" s="74" t="n"/>
      <c r="E14" s="26" t="n"/>
      <c r="F14" s="83" t="n"/>
      <c r="G14" s="77" t="n"/>
      <c r="H14" s="76" t="n"/>
      <c r="I14" s="29" t="n"/>
      <c r="J14" s="83" t="n"/>
      <c r="K14" s="51">
        <f>J14-F14</f>
        <v/>
      </c>
      <c r="L14" s="50">
        <f>K14*24*60</f>
        <v/>
      </c>
      <c r="M14" s="73">
        <f>L14/60</f>
        <v/>
      </c>
    </row>
    <row r="15">
      <c r="A15" s="49" t="n">
        <v>13</v>
      </c>
      <c r="B15" s="76" t="n"/>
      <c r="C15" s="76" t="n"/>
      <c r="D15" s="74" t="n"/>
      <c r="E15" s="26" t="n"/>
      <c r="F15" s="83" t="n"/>
      <c r="G15" s="77" t="n"/>
      <c r="H15" s="76" t="n"/>
      <c r="I15" s="29" t="n"/>
      <c r="J15" s="83" t="n"/>
      <c r="K15" s="51">
        <f>J15-F15</f>
        <v/>
      </c>
      <c r="L15" s="50">
        <f>K15*24*60</f>
        <v/>
      </c>
      <c r="M15" s="73">
        <f>L15/60</f>
        <v/>
      </c>
    </row>
    <row r="16">
      <c r="A16" s="49" t="n">
        <v>14</v>
      </c>
      <c r="B16" s="76" t="n"/>
      <c r="C16" s="76" t="n"/>
      <c r="D16" s="74" t="n"/>
      <c r="E16" s="26" t="n"/>
      <c r="F16" s="83" t="n"/>
      <c r="G16" s="77" t="n"/>
      <c r="H16" s="76" t="n"/>
      <c r="I16" s="29" t="n"/>
      <c r="J16" s="83" t="n"/>
      <c r="K16" s="51">
        <f>J16-F16</f>
        <v/>
      </c>
      <c r="L16" s="50">
        <f>K16*24*60</f>
        <v/>
      </c>
      <c r="M16" s="73">
        <f>L16/60</f>
        <v/>
      </c>
    </row>
    <row r="17">
      <c r="A17" s="49" t="n">
        <v>15</v>
      </c>
      <c r="B17" s="76" t="n"/>
      <c r="C17" s="76" t="n"/>
      <c r="D17" s="74" t="n"/>
      <c r="E17" s="26" t="n"/>
      <c r="F17" s="83" t="n"/>
      <c r="G17" s="77" t="n"/>
      <c r="H17" s="76" t="n"/>
      <c r="I17" s="29" t="n"/>
      <c r="J17" s="83" t="n"/>
      <c r="K17" s="51">
        <f>J17-F17</f>
        <v/>
      </c>
      <c r="L17" s="50">
        <f>K17*24*60</f>
        <v/>
      </c>
      <c r="M17" s="73">
        <f>L17/60</f>
        <v/>
      </c>
    </row>
    <row r="18">
      <c r="A18" s="49" t="n">
        <v>16</v>
      </c>
      <c r="B18" s="76" t="n"/>
      <c r="C18" s="76" t="n"/>
      <c r="D18" s="74" t="n"/>
      <c r="E18" s="26" t="n"/>
      <c r="F18" s="83" t="n"/>
      <c r="G18" s="77" t="n"/>
      <c r="H18" s="76" t="n"/>
      <c r="I18" s="29" t="n"/>
      <c r="J18" s="83" t="n"/>
      <c r="K18" s="51">
        <f>J18-F18</f>
        <v/>
      </c>
      <c r="L18" s="50">
        <f>K18*24*60</f>
        <v/>
      </c>
      <c r="M18" s="73">
        <f>L18/60</f>
        <v/>
      </c>
    </row>
    <row r="19">
      <c r="A19" s="49" t="n">
        <v>17</v>
      </c>
      <c r="B19" s="76" t="n"/>
      <c r="C19" s="76" t="n"/>
      <c r="D19" s="74" t="n"/>
      <c r="E19" s="26" t="n"/>
      <c r="F19" s="83" t="n"/>
      <c r="G19" s="77" t="n"/>
      <c r="H19" s="76" t="n"/>
      <c r="I19" s="29" t="n"/>
      <c r="J19" s="83" t="n"/>
      <c r="K19" s="51">
        <f>J19-F19</f>
        <v/>
      </c>
      <c r="L19" s="50">
        <f>K19*24*60</f>
        <v/>
      </c>
      <c r="M19" s="73">
        <f>L19/60</f>
        <v/>
      </c>
    </row>
    <row r="20">
      <c r="A20" s="49" t="n">
        <v>18</v>
      </c>
      <c r="B20" s="76" t="n"/>
      <c r="C20" s="76" t="n"/>
      <c r="D20" s="74" t="n"/>
      <c r="E20" s="26" t="n"/>
      <c r="F20" s="83" t="n"/>
      <c r="G20" s="77" t="n"/>
      <c r="H20" s="76" t="n"/>
      <c r="I20" s="29" t="n"/>
      <c r="J20" s="83" t="n"/>
      <c r="K20" s="51">
        <f>J20-F20</f>
        <v/>
      </c>
      <c r="L20" s="50">
        <f>K20*24*60</f>
        <v/>
      </c>
      <c r="M20" s="73">
        <f>L20/60</f>
        <v/>
      </c>
    </row>
    <row r="21">
      <c r="A21" s="49" t="n">
        <v>19</v>
      </c>
      <c r="B21" s="76" t="n"/>
      <c r="C21" s="76" t="n"/>
      <c r="D21" s="74" t="n"/>
      <c r="E21" s="26" t="n"/>
      <c r="F21" s="83" t="n"/>
      <c r="G21" s="77" t="n"/>
      <c r="H21" s="76" t="n"/>
      <c r="I21" s="29" t="n"/>
      <c r="J21" s="83" t="n"/>
      <c r="K21" s="51">
        <f>J21-F21</f>
        <v/>
      </c>
      <c r="L21" s="50">
        <f>K21*24*60</f>
        <v/>
      </c>
      <c r="M21" s="73">
        <f>L21/60</f>
        <v/>
      </c>
    </row>
    <row r="22">
      <c r="A22" s="49" t="n">
        <v>20</v>
      </c>
      <c r="B22" s="76" t="n"/>
      <c r="C22" s="76" t="n"/>
      <c r="D22" s="74" t="n"/>
      <c r="E22" s="26" t="n"/>
      <c r="F22" s="83" t="n"/>
      <c r="G22" s="77" t="n"/>
      <c r="H22" s="76" t="n"/>
      <c r="I22" s="29" t="n"/>
      <c r="J22" s="83" t="n"/>
      <c r="K22" s="51">
        <f>J22-F22</f>
        <v/>
      </c>
      <c r="L22" s="50">
        <f>K22*24*60</f>
        <v/>
      </c>
      <c r="M22" s="73">
        <f>L22/60</f>
        <v/>
      </c>
    </row>
    <row r="23">
      <c r="A23" s="49" t="n">
        <v>21</v>
      </c>
      <c r="B23" s="76" t="n"/>
      <c r="C23" s="76" t="n"/>
      <c r="D23" s="74" t="n"/>
      <c r="E23" s="26" t="n"/>
      <c r="F23" s="83" t="n"/>
      <c r="G23" s="77" t="n"/>
      <c r="H23" s="76" t="n"/>
      <c r="I23" s="29" t="n"/>
      <c r="J23" s="83" t="n"/>
      <c r="K23" s="51">
        <f>J23-F23</f>
        <v/>
      </c>
      <c r="L23" s="50">
        <f>K23*24*60</f>
        <v/>
      </c>
      <c r="M23" s="73">
        <f>L23/60</f>
        <v/>
      </c>
    </row>
    <row r="24">
      <c r="A24" s="49" t="n">
        <v>22</v>
      </c>
      <c r="B24" s="76" t="n"/>
      <c r="C24" s="76" t="n"/>
      <c r="D24" s="74" t="n"/>
      <c r="E24" s="26" t="n"/>
      <c r="F24" s="83" t="n"/>
      <c r="G24" s="77" t="n"/>
      <c r="H24" s="76" t="n"/>
      <c r="I24" s="29" t="n"/>
      <c r="J24" s="83" t="n"/>
      <c r="K24" s="51">
        <f>J24-F24</f>
        <v/>
      </c>
      <c r="L24" s="50">
        <f>K24*24*60</f>
        <v/>
      </c>
      <c r="M24" s="73">
        <f>L24/60</f>
        <v/>
      </c>
    </row>
    <row r="25">
      <c r="A25" s="49" t="n">
        <v>23</v>
      </c>
      <c r="B25" s="76" t="n"/>
      <c r="C25" s="76" t="n"/>
      <c r="D25" s="74" t="n"/>
      <c r="E25" s="26" t="n"/>
      <c r="F25" s="83" t="n"/>
      <c r="G25" s="77" t="n"/>
      <c r="H25" s="76" t="n"/>
      <c r="I25" s="29" t="n"/>
      <c r="J25" s="83" t="n"/>
      <c r="K25" s="51">
        <f>J25-F25</f>
        <v/>
      </c>
      <c r="L25" s="50">
        <f>K25*24*60</f>
        <v/>
      </c>
      <c r="M25" s="73">
        <f>L25/60</f>
        <v/>
      </c>
    </row>
    <row r="26">
      <c r="A26" s="49" t="n">
        <v>24</v>
      </c>
      <c r="B26" s="76" t="n"/>
      <c r="C26" s="76" t="n"/>
      <c r="D26" s="74" t="n"/>
      <c r="E26" s="26" t="n"/>
      <c r="F26" s="83" t="n"/>
      <c r="G26" s="77" t="n"/>
      <c r="H26" s="76" t="n"/>
      <c r="I26" s="29" t="n"/>
      <c r="J26" s="83" t="n"/>
      <c r="K26" s="51">
        <f>J26-F26</f>
        <v/>
      </c>
      <c r="L26" s="50">
        <f>K26*24*60</f>
        <v/>
      </c>
      <c r="M26" s="73">
        <f>L26/60</f>
        <v/>
      </c>
    </row>
    <row r="27">
      <c r="A27" s="49" t="n">
        <v>25</v>
      </c>
      <c r="B27" s="76" t="n"/>
      <c r="C27" s="76" t="n"/>
      <c r="D27" s="74" t="n"/>
      <c r="E27" s="26" t="n"/>
      <c r="F27" s="83" t="n"/>
      <c r="G27" s="77" t="n"/>
      <c r="H27" s="76" t="n"/>
      <c r="I27" s="29" t="n"/>
      <c r="J27" s="83" t="n"/>
      <c r="K27" s="51">
        <f>J27-F27</f>
        <v/>
      </c>
      <c r="L27" s="50">
        <f>K27*24*60</f>
        <v/>
      </c>
      <c r="M27" s="73">
        <f>L27/60</f>
        <v/>
      </c>
    </row>
    <row r="28">
      <c r="A28" s="49" t="n">
        <v>26</v>
      </c>
      <c r="B28" s="76" t="n"/>
      <c r="C28" s="76" t="n"/>
      <c r="D28" s="74" t="n"/>
      <c r="E28" s="26" t="n"/>
      <c r="F28" s="83" t="n"/>
      <c r="G28" s="77" t="n"/>
      <c r="H28" s="76" t="n"/>
      <c r="I28" s="29" t="n"/>
      <c r="J28" s="83" t="n"/>
      <c r="K28" s="51">
        <f>J28-F28</f>
        <v/>
      </c>
      <c r="L28" s="50">
        <f>K28*24*60</f>
        <v/>
      </c>
      <c r="M28" s="73">
        <f>L28/60</f>
        <v/>
      </c>
    </row>
    <row r="29">
      <c r="A29" s="49" t="n">
        <v>27</v>
      </c>
      <c r="B29" s="76" t="n"/>
      <c r="C29" s="76" t="n"/>
      <c r="D29" s="74" t="n"/>
      <c r="E29" s="26" t="n"/>
      <c r="F29" s="83" t="n"/>
      <c r="G29" s="77" t="n"/>
      <c r="H29" s="76" t="n"/>
      <c r="I29" s="29" t="n"/>
      <c r="J29" s="83" t="n"/>
      <c r="K29" s="51">
        <f>J29-F29</f>
        <v/>
      </c>
      <c r="L29" s="50">
        <f>K29*24*60</f>
        <v/>
      </c>
      <c r="M29" s="73">
        <f>L29/60</f>
        <v/>
      </c>
    </row>
    <row r="30">
      <c r="A30" s="49" t="n">
        <v>28</v>
      </c>
      <c r="B30" s="76" t="n"/>
      <c r="C30" s="76" t="n"/>
      <c r="D30" s="74" t="n"/>
      <c r="E30" s="26" t="n"/>
      <c r="F30" s="83" t="n"/>
      <c r="G30" s="77" t="n"/>
      <c r="H30" s="76" t="n"/>
      <c r="I30" s="29" t="n"/>
      <c r="J30" s="83" t="n"/>
      <c r="K30" s="51">
        <f>J30-F30</f>
        <v/>
      </c>
      <c r="L30" s="50">
        <f>K30*24*60</f>
        <v/>
      </c>
      <c r="M30" s="73">
        <f>L30/60</f>
        <v/>
      </c>
    </row>
    <row r="31">
      <c r="A31" s="49" t="n">
        <v>29</v>
      </c>
      <c r="B31" s="76" t="n"/>
      <c r="C31" s="76" t="n"/>
      <c r="D31" s="74" t="n"/>
      <c r="E31" s="26" t="n"/>
      <c r="F31" s="83" t="n"/>
      <c r="G31" s="77" t="n"/>
      <c r="H31" s="76" t="n"/>
      <c r="I31" s="29" t="n"/>
      <c r="J31" s="83" t="n"/>
      <c r="K31" s="51">
        <f>J31-F31</f>
        <v/>
      </c>
      <c r="L31" s="50">
        <f>K31*24*60</f>
        <v/>
      </c>
      <c r="M31" s="73">
        <f>L31/60</f>
        <v/>
      </c>
    </row>
    <row r="32">
      <c r="A32" s="49" t="n">
        <v>30</v>
      </c>
      <c r="B32" s="76" t="n"/>
      <c r="C32" s="76" t="n"/>
      <c r="D32" s="74" t="n"/>
      <c r="E32" s="26" t="n"/>
      <c r="F32" s="83" t="n"/>
      <c r="G32" s="77" t="n"/>
      <c r="H32" s="76" t="n"/>
      <c r="I32" s="29" t="n"/>
      <c r="J32" s="83" t="n"/>
      <c r="K32" s="51">
        <f>J32-F32</f>
        <v/>
      </c>
      <c r="L32" s="50">
        <f>K32*24*60</f>
        <v/>
      </c>
      <c r="M32" s="73">
        <f>L32/60</f>
        <v/>
      </c>
    </row>
    <row r="33">
      <c r="A33" s="49" t="n">
        <v>31</v>
      </c>
      <c r="B33" s="76" t="n"/>
      <c r="C33" s="76" t="n"/>
      <c r="D33" s="74" t="n"/>
      <c r="E33" s="26" t="n"/>
      <c r="F33" s="83" t="n"/>
      <c r="G33" s="77" t="n"/>
      <c r="H33" s="76" t="n"/>
      <c r="I33" s="29" t="n"/>
      <c r="J33" s="83" t="n"/>
      <c r="K33" s="51">
        <f>J33-F33</f>
        <v/>
      </c>
      <c r="L33" s="50">
        <f>K33*24*60</f>
        <v/>
      </c>
      <c r="M33" s="73">
        <f>L33/60</f>
        <v/>
      </c>
    </row>
    <row r="34">
      <c r="A34" s="49" t="n">
        <v>32</v>
      </c>
      <c r="B34" s="76" t="n"/>
      <c r="C34" s="76" t="n"/>
      <c r="D34" s="74" t="n"/>
      <c r="E34" s="26" t="n"/>
      <c r="F34" s="83" t="n"/>
      <c r="G34" s="77" t="n"/>
      <c r="H34" s="76" t="n"/>
      <c r="I34" s="29" t="n"/>
      <c r="J34" s="83" t="n"/>
      <c r="K34" s="51">
        <f>J34-F34</f>
        <v/>
      </c>
      <c r="L34" s="50">
        <f>K34*24*60</f>
        <v/>
      </c>
      <c r="M34" s="73">
        <f>L34/60</f>
        <v/>
      </c>
    </row>
    <row r="35">
      <c r="A35" s="49" t="n">
        <v>33</v>
      </c>
      <c r="B35" s="76" t="n"/>
      <c r="C35" s="76" t="n"/>
      <c r="D35" s="74" t="n"/>
      <c r="E35" s="26" t="n"/>
      <c r="F35" s="83" t="n"/>
      <c r="G35" s="77" t="n"/>
      <c r="H35" s="76" t="n"/>
      <c r="I35" s="29" t="n"/>
      <c r="J35" s="83" t="n"/>
      <c r="K35" s="51">
        <f>J35-F35</f>
        <v/>
      </c>
      <c r="L35" s="50">
        <f>K35*24*60</f>
        <v/>
      </c>
      <c r="M35" s="73">
        <f>L35/60</f>
        <v/>
      </c>
    </row>
    <row r="36">
      <c r="A36" s="49" t="n">
        <v>34</v>
      </c>
      <c r="B36" s="76" t="n"/>
      <c r="C36" s="76" t="n"/>
      <c r="D36" s="74" t="n"/>
      <c r="E36" s="26" t="n"/>
      <c r="F36" s="83" t="n"/>
      <c r="G36" s="77" t="n"/>
      <c r="H36" s="76" t="n"/>
      <c r="I36" s="29" t="n"/>
      <c r="J36" s="83" t="n"/>
      <c r="K36" s="51">
        <f>J36-F36</f>
        <v/>
      </c>
      <c r="L36" s="50">
        <f>K36*24*60</f>
        <v/>
      </c>
      <c r="M36" s="73">
        <f>L36/60</f>
        <v/>
      </c>
    </row>
    <row r="37">
      <c r="A37" s="49" t="n">
        <v>35</v>
      </c>
      <c r="B37" s="76" t="n"/>
      <c r="C37" s="76" t="n"/>
      <c r="D37" s="74" t="n"/>
      <c r="E37" s="26" t="n"/>
      <c r="F37" s="83" t="n"/>
      <c r="G37" s="77" t="n"/>
      <c r="H37" s="76" t="n"/>
      <c r="I37" s="29" t="n"/>
      <c r="J37" s="83" t="n"/>
      <c r="K37" s="51">
        <f>J37-F37</f>
        <v/>
      </c>
      <c r="L37" s="50">
        <f>K37*24*60</f>
        <v/>
      </c>
      <c r="M37" s="73">
        <f>L37/60</f>
        <v/>
      </c>
    </row>
    <row r="38">
      <c r="A38" s="49" t="n">
        <v>36</v>
      </c>
      <c r="B38" s="76" t="n"/>
      <c r="C38" s="76" t="n"/>
      <c r="D38" s="74" t="n"/>
      <c r="E38" s="26" t="n"/>
      <c r="F38" s="83" t="n"/>
      <c r="G38" s="77" t="n"/>
      <c r="H38" s="76" t="n"/>
      <c r="I38" s="29" t="n"/>
      <c r="J38" s="83" t="n"/>
      <c r="K38" s="51">
        <f>J38-F38</f>
        <v/>
      </c>
      <c r="L38" s="50">
        <f>K38*24*60</f>
        <v/>
      </c>
      <c r="M38" s="73">
        <f>L38/60</f>
        <v/>
      </c>
    </row>
    <row r="39">
      <c r="A39" s="49" t="n">
        <v>37</v>
      </c>
      <c r="B39" s="76" t="n"/>
      <c r="C39" s="76" t="n"/>
      <c r="D39" s="74" t="n"/>
      <c r="E39" s="26" t="n"/>
      <c r="F39" s="83" t="n"/>
      <c r="G39" s="77" t="n"/>
      <c r="H39" s="76" t="n"/>
      <c r="I39" s="29" t="n"/>
      <c r="J39" s="83" t="n"/>
      <c r="K39" s="51">
        <f>J39-F39</f>
        <v/>
      </c>
      <c r="L39" s="50">
        <f>K39*24*60</f>
        <v/>
      </c>
      <c r="M39" s="73">
        <f>L39/60</f>
        <v/>
      </c>
    </row>
    <row r="40">
      <c r="A40" s="49" t="n">
        <v>38</v>
      </c>
      <c r="B40" s="76" t="n"/>
      <c r="C40" s="76" t="n"/>
      <c r="D40" s="74" t="n"/>
      <c r="E40" s="26" t="n"/>
      <c r="F40" s="83" t="n"/>
      <c r="G40" s="77" t="n"/>
      <c r="H40" s="76" t="n"/>
      <c r="I40" s="29" t="n"/>
      <c r="J40" s="83" t="n"/>
      <c r="K40" s="51">
        <f>J40-F40</f>
        <v/>
      </c>
      <c r="L40" s="50">
        <f>K40*24*60</f>
        <v/>
      </c>
      <c r="M40" s="73">
        <f>L40/60</f>
        <v/>
      </c>
    </row>
    <row r="41">
      <c r="A41" s="49" t="n">
        <v>39</v>
      </c>
      <c r="B41" s="76" t="n"/>
      <c r="C41" s="76" t="n"/>
      <c r="D41" s="74" t="n"/>
      <c r="E41" s="26" t="n"/>
      <c r="F41" s="83" t="n"/>
      <c r="G41" s="77" t="n"/>
      <c r="H41" s="76" t="n"/>
      <c r="I41" s="29" t="n"/>
      <c r="J41" s="83" t="n"/>
      <c r="K41" s="51">
        <f>J41-F41</f>
        <v/>
      </c>
      <c r="L41" s="50">
        <f>K41*24*60</f>
        <v/>
      </c>
      <c r="M41" s="73">
        <f>L41/60</f>
        <v/>
      </c>
    </row>
    <row r="42">
      <c r="A42" s="49" t="n">
        <v>40</v>
      </c>
      <c r="B42" s="76" t="n"/>
      <c r="C42" s="76" t="n"/>
      <c r="D42" s="74" t="n"/>
      <c r="E42" s="26" t="n"/>
      <c r="F42" s="83" t="n"/>
      <c r="G42" s="77" t="n"/>
      <c r="H42" s="76" t="n"/>
      <c r="I42" s="29" t="n"/>
      <c r="J42" s="83" t="n"/>
      <c r="K42" s="51">
        <f>J42-F42</f>
        <v/>
      </c>
      <c r="L42" s="50">
        <f>K42*24*60</f>
        <v/>
      </c>
      <c r="M42" s="73">
        <f>L42/60</f>
        <v/>
      </c>
    </row>
    <row r="43">
      <c r="A43" s="49" t="n">
        <v>41</v>
      </c>
      <c r="B43" s="76" t="n"/>
      <c r="C43" s="76" t="n"/>
      <c r="D43" s="74" t="n"/>
      <c r="E43" s="26" t="n"/>
      <c r="F43" s="83" t="n"/>
      <c r="G43" s="77" t="n"/>
      <c r="H43" s="76" t="n"/>
      <c r="I43" s="29" t="n"/>
      <c r="J43" s="83" t="n"/>
      <c r="K43" s="51">
        <f>J43-F43</f>
        <v/>
      </c>
      <c r="L43" s="50">
        <f>K43*24*60</f>
        <v/>
      </c>
      <c r="M43" s="73">
        <f>L43/60</f>
        <v/>
      </c>
    </row>
    <row r="44">
      <c r="A44" s="49" t="n">
        <v>42</v>
      </c>
      <c r="B44" s="76" t="n"/>
      <c r="C44" s="76" t="n"/>
      <c r="D44" s="74" t="n"/>
      <c r="E44" s="26" t="n"/>
      <c r="F44" s="83" t="n"/>
      <c r="G44" s="77" t="n"/>
      <c r="H44" s="76" t="n"/>
      <c r="I44" s="29" t="n"/>
      <c r="J44" s="83" t="n"/>
      <c r="K44" s="51">
        <f>J44-F44</f>
        <v/>
      </c>
      <c r="L44" s="50">
        <f>K44*24*60</f>
        <v/>
      </c>
      <c r="M44" s="73">
        <f>L44/60</f>
        <v/>
      </c>
    </row>
    <row r="45">
      <c r="A45" s="49" t="n">
        <v>43</v>
      </c>
      <c r="B45" s="76" t="n"/>
      <c r="C45" s="76" t="n"/>
      <c r="D45" s="74" t="n"/>
      <c r="E45" s="26" t="n"/>
      <c r="F45" s="83" t="n"/>
      <c r="G45" s="77" t="n"/>
      <c r="H45" s="76" t="n"/>
      <c r="I45" s="29" t="n"/>
      <c r="J45" s="83" t="n"/>
      <c r="K45" s="51">
        <f>J45-F45</f>
        <v/>
      </c>
      <c r="L45" s="50">
        <f>K45*24*60</f>
        <v/>
      </c>
      <c r="M45" s="73">
        <f>L45/60</f>
        <v/>
      </c>
    </row>
    <row r="46">
      <c r="A46" s="49" t="n">
        <v>44</v>
      </c>
      <c r="B46" s="76" t="n"/>
      <c r="C46" s="76" t="n"/>
      <c r="D46" s="74" t="n"/>
      <c r="E46" s="26" t="n"/>
      <c r="F46" s="83" t="n"/>
      <c r="G46" s="77" t="n"/>
      <c r="H46" s="76" t="n"/>
      <c r="I46" s="29" t="n"/>
      <c r="J46" s="83" t="n"/>
      <c r="K46" s="51">
        <f>J46-F46</f>
        <v/>
      </c>
      <c r="L46" s="50">
        <f>K46*24*60</f>
        <v/>
      </c>
      <c r="M46" s="73">
        <f>L46/60</f>
        <v/>
      </c>
    </row>
    <row r="47">
      <c r="A47" s="49" t="n">
        <v>45</v>
      </c>
      <c r="B47" s="76" t="n"/>
      <c r="C47" s="76" t="n"/>
      <c r="D47" s="74" t="n"/>
      <c r="E47" s="26" t="n"/>
      <c r="F47" s="83" t="n"/>
      <c r="G47" s="77" t="n"/>
      <c r="H47" s="76" t="n"/>
      <c r="I47" s="29" t="n"/>
      <c r="J47" s="83" t="n"/>
      <c r="K47" s="51">
        <f>J47-F47</f>
        <v/>
      </c>
      <c r="L47" s="50">
        <f>K47*24*60</f>
        <v/>
      </c>
      <c r="M47" s="73">
        <f>L47/60</f>
        <v/>
      </c>
    </row>
    <row r="48">
      <c r="A48" s="49" t="n">
        <v>46</v>
      </c>
      <c r="B48" s="76" t="n"/>
      <c r="C48" s="76" t="n"/>
      <c r="D48" s="74" t="n"/>
      <c r="E48" s="26" t="n"/>
      <c r="F48" s="83" t="n"/>
      <c r="G48" s="77" t="n"/>
      <c r="H48" s="76" t="n"/>
      <c r="I48" s="29" t="n"/>
      <c r="J48" s="83" t="n"/>
      <c r="K48" s="51">
        <f>J48-F48</f>
        <v/>
      </c>
      <c r="L48" s="50">
        <f>K48*24*60</f>
        <v/>
      </c>
      <c r="M48" s="73">
        <f>L48/60</f>
        <v/>
      </c>
    </row>
    <row r="49">
      <c r="A49" s="49" t="n">
        <v>47</v>
      </c>
      <c r="B49" s="76" t="n"/>
      <c r="C49" s="76" t="n"/>
      <c r="D49" s="74" t="n"/>
      <c r="E49" s="26" t="n"/>
      <c r="F49" s="83" t="n"/>
      <c r="G49" s="77" t="n"/>
      <c r="H49" s="76" t="n"/>
      <c r="I49" s="29" t="n"/>
      <c r="J49" s="83" t="n"/>
      <c r="K49" s="51">
        <f>J49-F49</f>
        <v/>
      </c>
      <c r="L49" s="50">
        <f>K49*24*60</f>
        <v/>
      </c>
      <c r="M49" s="73">
        <f>L49/60</f>
        <v/>
      </c>
    </row>
    <row r="50">
      <c r="A50" s="49" t="n">
        <v>48</v>
      </c>
      <c r="B50" s="76" t="n"/>
      <c r="C50" s="76" t="n"/>
      <c r="D50" s="74" t="n"/>
      <c r="E50" s="26" t="n"/>
      <c r="F50" s="83" t="n"/>
      <c r="G50" s="77" t="n"/>
      <c r="H50" s="76" t="n"/>
      <c r="I50" s="29" t="n"/>
      <c r="J50" s="83" t="n"/>
      <c r="K50" s="51">
        <f>J50-F50</f>
        <v/>
      </c>
      <c r="L50" s="50">
        <f>K50*24*60</f>
        <v/>
      </c>
      <c r="M50" s="73">
        <f>L50/60</f>
        <v/>
      </c>
    </row>
    <row r="51">
      <c r="A51" s="49" t="n">
        <v>49</v>
      </c>
      <c r="B51" s="76" t="n"/>
      <c r="C51" s="76" t="n"/>
      <c r="D51" s="74" t="n"/>
      <c r="E51" s="26" t="n"/>
      <c r="F51" s="83" t="n"/>
      <c r="G51" s="77" t="n"/>
      <c r="H51" s="76" t="n"/>
      <c r="I51" s="29" t="n"/>
      <c r="J51" s="83" t="n"/>
      <c r="K51" s="51">
        <f>J51-F51</f>
        <v/>
      </c>
      <c r="L51" s="50">
        <f>K51*24*60</f>
        <v/>
      </c>
      <c r="M51" s="73">
        <f>L51/60</f>
        <v/>
      </c>
    </row>
    <row r="52">
      <c r="A52" s="49" t="n">
        <v>50</v>
      </c>
      <c r="B52" s="76" t="n"/>
      <c r="C52" s="76" t="n"/>
      <c r="D52" s="74" t="n"/>
      <c r="E52" s="26" t="n"/>
      <c r="F52" s="83" t="n"/>
      <c r="G52" s="77" t="n"/>
      <c r="H52" s="76" t="n"/>
      <c r="I52" s="29" t="n"/>
      <c r="J52" s="83" t="n"/>
      <c r="K52" s="51">
        <f>J52-F52</f>
        <v/>
      </c>
      <c r="L52" s="50">
        <f>K52*24*60</f>
        <v/>
      </c>
      <c r="M52" s="73">
        <f>L52/60</f>
        <v/>
      </c>
    </row>
    <row r="53">
      <c r="A53" s="49" t="n">
        <v>51</v>
      </c>
      <c r="B53" s="76" t="n"/>
      <c r="C53" s="76" t="n"/>
      <c r="D53" s="74" t="n"/>
      <c r="E53" s="26" t="n"/>
      <c r="F53" s="83" t="n"/>
      <c r="G53" s="77" t="n"/>
      <c r="H53" s="76" t="n"/>
      <c r="I53" s="29" t="n"/>
      <c r="J53" s="83" t="n"/>
      <c r="K53" s="51">
        <f>J53-F53</f>
        <v/>
      </c>
      <c r="L53" s="50">
        <f>K53*24*60</f>
        <v/>
      </c>
      <c r="M53" s="73">
        <f>L53/60</f>
        <v/>
      </c>
    </row>
    <row r="54">
      <c r="A54" s="49" t="n">
        <v>52</v>
      </c>
      <c r="B54" s="76" t="n"/>
      <c r="C54" s="76" t="n"/>
      <c r="D54" s="76" t="n"/>
      <c r="E54" s="76" t="n"/>
      <c r="F54" s="83" t="n"/>
      <c r="G54" s="76" t="n"/>
      <c r="H54" s="76" t="n"/>
      <c r="I54" s="76" t="n"/>
      <c r="J54" s="83" t="n"/>
      <c r="K54" s="51">
        <f>J54-F54</f>
        <v/>
      </c>
      <c r="L54" s="50">
        <f>K54*24*60</f>
        <v/>
      </c>
      <c r="M54" s="73">
        <f>L54/60</f>
        <v/>
      </c>
    </row>
    <row r="55">
      <c r="A55" s="49" t="n">
        <v>53</v>
      </c>
      <c r="B55" s="76" t="n"/>
      <c r="C55" s="76" t="n"/>
      <c r="D55" s="75" t="n"/>
      <c r="E55" s="76" t="n"/>
      <c r="F55" s="83" t="n"/>
      <c r="G55" s="76" t="n"/>
      <c r="H55" s="76" t="n"/>
      <c r="I55" s="76" t="n"/>
      <c r="J55" s="83" t="n"/>
      <c r="K55" s="51">
        <f>J55-F55</f>
        <v/>
      </c>
      <c r="L55" s="50">
        <f>K55*24*60</f>
        <v/>
      </c>
      <c r="M55" s="73">
        <f>L55/60</f>
        <v/>
      </c>
    </row>
    <row r="56">
      <c r="A56" s="49" t="n">
        <v>54</v>
      </c>
      <c r="B56" s="76" t="n"/>
      <c r="C56" s="76" t="n"/>
      <c r="D56" s="76" t="n"/>
      <c r="E56" s="76" t="n"/>
      <c r="F56" s="83" t="n"/>
      <c r="G56" s="76" t="n"/>
      <c r="H56" s="76" t="n"/>
      <c r="I56" s="76" t="n"/>
      <c r="J56" s="83" t="n"/>
      <c r="K56" s="51">
        <f>J56-F56</f>
        <v/>
      </c>
      <c r="L56" s="50">
        <f>K56*24*60</f>
        <v/>
      </c>
      <c r="M56" s="73">
        <f>L56/60</f>
        <v/>
      </c>
    </row>
    <row r="57">
      <c r="A57" s="49" t="n">
        <v>55</v>
      </c>
      <c r="B57" s="76" t="n"/>
      <c r="C57" s="76" t="n"/>
      <c r="D57" s="76" t="n"/>
      <c r="E57" s="76" t="n"/>
      <c r="F57" s="83" t="n"/>
      <c r="G57" s="76" t="n"/>
      <c r="H57" s="76" t="n"/>
      <c r="I57" s="76" t="n"/>
      <c r="J57" s="83" t="n"/>
      <c r="K57" s="51">
        <f>J57-F57</f>
        <v/>
      </c>
      <c r="L57" s="50">
        <f>K57*24*60</f>
        <v/>
      </c>
      <c r="M57" s="73">
        <f>L57/60</f>
        <v/>
      </c>
    </row>
    <row r="58">
      <c r="A58" s="49" t="n">
        <v>56</v>
      </c>
      <c r="B58" s="76" t="n"/>
      <c r="C58" s="76" t="n"/>
      <c r="D58" s="76" t="n"/>
      <c r="E58" s="76" t="n"/>
      <c r="F58" s="83" t="n"/>
      <c r="G58" s="76" t="n"/>
      <c r="H58" s="76" t="n"/>
      <c r="I58" s="76" t="n"/>
      <c r="J58" s="83" t="n"/>
      <c r="K58" s="51">
        <f>J58-F58</f>
        <v/>
      </c>
      <c r="L58" s="50">
        <f>K58*24*60</f>
        <v/>
      </c>
      <c r="M58" s="73">
        <f>L58/60</f>
        <v/>
      </c>
    </row>
    <row r="59">
      <c r="A59" s="49" t="n">
        <v>57</v>
      </c>
      <c r="B59" s="76" t="n"/>
      <c r="C59" s="76" t="n"/>
      <c r="D59" s="76" t="n"/>
      <c r="E59" s="76" t="n"/>
      <c r="F59" s="83" t="n"/>
      <c r="G59" s="76" t="n"/>
      <c r="H59" s="76" t="n"/>
      <c r="I59" s="76" t="n"/>
      <c r="J59" s="83" t="n"/>
      <c r="K59" s="51">
        <f>J59-F59</f>
        <v/>
      </c>
      <c r="L59" s="50">
        <f>K59*24*60</f>
        <v/>
      </c>
      <c r="M59" s="73">
        <f>L59/60</f>
        <v/>
      </c>
    </row>
    <row r="60">
      <c r="A60" s="49" t="n">
        <v>58</v>
      </c>
      <c r="B60" s="76" t="n"/>
      <c r="C60" s="76" t="n"/>
      <c r="D60" s="76" t="n"/>
      <c r="E60" s="76" t="n"/>
      <c r="F60" s="83" t="n"/>
      <c r="G60" s="76" t="n"/>
      <c r="H60" s="76" t="n"/>
      <c r="I60" s="76" t="n"/>
      <c r="J60" s="83" t="n"/>
      <c r="K60" s="51">
        <f>J60-F60</f>
        <v/>
      </c>
      <c r="L60" s="50">
        <f>K60*24*60</f>
        <v/>
      </c>
      <c r="M60" s="73">
        <f>L60/60</f>
        <v/>
      </c>
    </row>
    <row r="61">
      <c r="A61" s="49" t="n">
        <v>59</v>
      </c>
      <c r="B61" s="76" t="n"/>
      <c r="C61" s="76" t="n"/>
      <c r="D61" s="76" t="n"/>
      <c r="E61" s="76" t="n"/>
      <c r="F61" s="83" t="n"/>
      <c r="G61" s="76" t="n"/>
      <c r="H61" s="76" t="n"/>
      <c r="I61" s="76" t="n"/>
      <c r="J61" s="83" t="n"/>
      <c r="K61" s="51">
        <f>J61-F61</f>
        <v/>
      </c>
      <c r="L61" s="50">
        <f>K61*24*60</f>
        <v/>
      </c>
      <c r="M61" s="73">
        <f>L61/60</f>
        <v/>
      </c>
    </row>
    <row r="62">
      <c r="A62" s="49" t="n">
        <v>60</v>
      </c>
      <c r="B62" s="76" t="n"/>
      <c r="C62" s="76" t="n"/>
      <c r="D62" s="76" t="n"/>
      <c r="E62" s="76" t="n"/>
      <c r="F62" s="83" t="n"/>
      <c r="G62" s="76" t="n"/>
      <c r="H62" s="76" t="n"/>
      <c r="I62" s="76" t="n"/>
      <c r="J62" s="83" t="n"/>
      <c r="K62" s="51">
        <f>J62-F62</f>
        <v/>
      </c>
      <c r="L62" s="50">
        <f>K62*24*60</f>
        <v/>
      </c>
      <c r="M62" s="73">
        <f>L62/60</f>
        <v/>
      </c>
    </row>
    <row r="63">
      <c r="A63" s="49" t="n">
        <v>61</v>
      </c>
      <c r="B63" s="76" t="n"/>
      <c r="C63" s="76" t="n"/>
      <c r="D63" s="76" t="n"/>
      <c r="E63" s="76" t="n"/>
      <c r="F63" s="83" t="n"/>
      <c r="G63" s="76" t="n"/>
      <c r="H63" s="76" t="n"/>
      <c r="I63" s="76" t="n"/>
      <c r="J63" s="83" t="n"/>
      <c r="K63" s="51">
        <f>J63-F63</f>
        <v/>
      </c>
      <c r="L63" s="50">
        <f>K63*24*60</f>
        <v/>
      </c>
      <c r="M63" s="73">
        <f>L63/60</f>
        <v/>
      </c>
    </row>
    <row r="64">
      <c r="A64" s="49" t="n">
        <v>62</v>
      </c>
      <c r="B64" s="76" t="n"/>
      <c r="C64" s="76" t="n"/>
      <c r="D64" s="76" t="n"/>
      <c r="E64" s="76" t="n"/>
      <c r="F64" s="83" t="n"/>
      <c r="G64" s="76" t="n"/>
      <c r="H64" s="76" t="n"/>
      <c r="I64" s="76" t="n"/>
      <c r="J64" s="83" t="n"/>
      <c r="K64" s="51">
        <f>J64-F64</f>
        <v/>
      </c>
      <c r="L64" s="50">
        <f>K64*24*60</f>
        <v/>
      </c>
      <c r="M64" s="73">
        <f>L64/60</f>
        <v/>
      </c>
    </row>
    <row r="65">
      <c r="A65" s="49" t="n">
        <v>63</v>
      </c>
      <c r="B65" s="76" t="n"/>
      <c r="C65" s="76" t="n"/>
      <c r="D65" s="76" t="n"/>
      <c r="E65" s="76" t="n"/>
      <c r="F65" s="83" t="n"/>
      <c r="G65" s="76" t="n"/>
      <c r="H65" s="76" t="n"/>
      <c r="I65" s="76" t="n"/>
      <c r="J65" s="83" t="n"/>
      <c r="K65" s="51">
        <f>J65-F65</f>
        <v/>
      </c>
      <c r="L65" s="50">
        <f>K65*24*60</f>
        <v/>
      </c>
      <c r="M65" s="73">
        <f>L65/60</f>
        <v/>
      </c>
    </row>
    <row r="66">
      <c r="A66" s="49" t="n">
        <v>64</v>
      </c>
      <c r="B66" s="76" t="n"/>
      <c r="C66" s="76" t="n"/>
      <c r="D66" s="76" t="n"/>
      <c r="E66" s="76" t="n"/>
      <c r="F66" s="83" t="n"/>
      <c r="G66" s="76" t="n"/>
      <c r="H66" s="76" t="n"/>
      <c r="I66" s="76" t="n"/>
      <c r="J66" s="83" t="n"/>
      <c r="K66" s="51">
        <f>J66-F66</f>
        <v/>
      </c>
      <c r="L66" s="50">
        <f>K66*24*60</f>
        <v/>
      </c>
      <c r="M66" s="73">
        <f>L66/60</f>
        <v/>
      </c>
    </row>
    <row r="67">
      <c r="A67" s="49" t="n">
        <v>65</v>
      </c>
      <c r="B67" s="76" t="n"/>
      <c r="C67" s="76" t="n"/>
      <c r="D67" s="76" t="n"/>
      <c r="E67" s="76" t="n"/>
      <c r="F67" s="83" t="n"/>
      <c r="G67" s="76" t="n"/>
      <c r="H67" s="76" t="n"/>
      <c r="I67" s="76" t="n"/>
      <c r="J67" s="83" t="n"/>
      <c r="K67" s="51">
        <f>J67-F67</f>
        <v/>
      </c>
      <c r="L67" s="50">
        <f>K67*24*60</f>
        <v/>
      </c>
      <c r="M67" s="73">
        <f>L67/60</f>
        <v/>
      </c>
    </row>
    <row r="68">
      <c r="A68" s="49" t="n">
        <v>66</v>
      </c>
      <c r="B68" s="76" t="n"/>
      <c r="C68" s="76" t="n"/>
      <c r="D68" s="76" t="n"/>
      <c r="E68" s="76" t="n"/>
      <c r="F68" s="83" t="n"/>
      <c r="G68" s="76" t="n"/>
      <c r="H68" s="76" t="n"/>
      <c r="I68" s="76" t="n"/>
      <c r="J68" s="83" t="n"/>
      <c r="K68" s="51">
        <f>J68-F68</f>
        <v/>
      </c>
      <c r="L68" s="50">
        <f>K68*24*60</f>
        <v/>
      </c>
      <c r="M68" s="73">
        <f>L68/60</f>
        <v/>
      </c>
    </row>
    <row r="69">
      <c r="A69" s="49" t="n">
        <v>67</v>
      </c>
      <c r="B69" s="76" t="n"/>
      <c r="C69" s="76" t="n"/>
      <c r="D69" s="76" t="n"/>
      <c r="E69" s="76" t="n"/>
      <c r="F69" s="83" t="n"/>
      <c r="G69" s="76" t="n"/>
      <c r="H69" s="76" t="n"/>
      <c r="I69" s="76" t="n"/>
      <c r="J69" s="83" t="n"/>
      <c r="K69" s="51">
        <f>J69-F69</f>
        <v/>
      </c>
      <c r="L69" s="50">
        <f>K69*24*60</f>
        <v/>
      </c>
      <c r="M69" s="73">
        <f>L69/60</f>
        <v/>
      </c>
    </row>
    <row r="70">
      <c r="A70" s="49" t="n">
        <v>68</v>
      </c>
      <c r="B70" s="76" t="n"/>
      <c r="C70" s="76" t="n"/>
      <c r="D70" s="76" t="n"/>
      <c r="E70" s="76" t="n"/>
      <c r="F70" s="83" t="n"/>
      <c r="G70" s="76" t="n"/>
      <c r="H70" s="76" t="n"/>
      <c r="I70" s="76" t="n"/>
      <c r="J70" s="83" t="n"/>
      <c r="K70" s="51">
        <f>J70-F70</f>
        <v/>
      </c>
      <c r="L70" s="50">
        <f>K70*24*60</f>
        <v/>
      </c>
      <c r="M70" s="73">
        <f>L70/60</f>
        <v/>
      </c>
    </row>
    <row r="71">
      <c r="A71" s="49" t="n">
        <v>69</v>
      </c>
      <c r="B71" s="76" t="n"/>
      <c r="C71" s="76" t="n"/>
      <c r="D71" s="76" t="n"/>
      <c r="E71" s="76" t="n"/>
      <c r="F71" s="83" t="n"/>
      <c r="G71" s="76" t="n"/>
      <c r="H71" s="76" t="n"/>
      <c r="I71" s="76" t="n"/>
      <c r="J71" s="83" t="n"/>
      <c r="K71" s="51">
        <f>J71-F71</f>
        <v/>
      </c>
      <c r="L71" s="50">
        <f>K71*24*60</f>
        <v/>
      </c>
      <c r="M71" s="73">
        <f>L71/60</f>
        <v/>
      </c>
    </row>
    <row r="72">
      <c r="A72" s="49" t="n">
        <v>70</v>
      </c>
      <c r="B72" s="76" t="n"/>
      <c r="C72" s="76" t="n"/>
      <c r="D72" s="76" t="n"/>
      <c r="E72" s="76" t="n"/>
      <c r="F72" s="83" t="n"/>
      <c r="G72" s="76" t="n"/>
      <c r="H72" s="76" t="n"/>
      <c r="I72" s="76" t="n"/>
      <c r="J72" s="83" t="n"/>
      <c r="K72" s="51">
        <f>J72-F72</f>
        <v/>
      </c>
      <c r="L72" s="50">
        <f>K72*24*60</f>
        <v/>
      </c>
      <c r="M72" s="73">
        <f>L72/60</f>
        <v/>
      </c>
    </row>
    <row r="73">
      <c r="A73" s="49" t="n">
        <v>71</v>
      </c>
      <c r="B73" s="76" t="n"/>
      <c r="C73" s="76" t="n"/>
      <c r="D73" s="76" t="n"/>
      <c r="E73" s="76" t="n"/>
      <c r="F73" s="83" t="n"/>
      <c r="G73" s="76" t="n"/>
      <c r="H73" s="76" t="n"/>
      <c r="I73" s="76" t="n"/>
      <c r="J73" s="83" t="n"/>
      <c r="K73" s="51">
        <f>J73-F73</f>
        <v/>
      </c>
      <c r="L73" s="50">
        <f>K73*24*60</f>
        <v/>
      </c>
      <c r="M73" s="73">
        <f>L73/60</f>
        <v/>
      </c>
    </row>
    <row r="74">
      <c r="A74" s="49" t="n">
        <v>72</v>
      </c>
      <c r="B74" s="76" t="n"/>
      <c r="C74" s="76" t="n"/>
      <c r="D74" s="76" t="n"/>
      <c r="E74" s="76" t="n"/>
      <c r="F74" s="83" t="n"/>
      <c r="G74" s="76" t="n"/>
      <c r="H74" s="76" t="n"/>
      <c r="I74" s="76" t="n"/>
      <c r="J74" s="83" t="n"/>
      <c r="K74" s="51">
        <f>J74-F74</f>
        <v/>
      </c>
      <c r="L74" s="50">
        <f>K74*24*60</f>
        <v/>
      </c>
      <c r="M74" s="73">
        <f>L74/60</f>
        <v/>
      </c>
    </row>
    <row r="75">
      <c r="A75" s="49" t="n">
        <v>73</v>
      </c>
      <c r="B75" s="76" t="n"/>
      <c r="C75" s="76" t="n"/>
      <c r="D75" s="76" t="n"/>
      <c r="E75" s="76" t="n"/>
      <c r="F75" s="83" t="n"/>
      <c r="G75" s="76" t="n"/>
      <c r="H75" s="76" t="n"/>
      <c r="I75" s="76" t="n"/>
      <c r="J75" s="83" t="n"/>
      <c r="K75" s="51">
        <f>J75-F75</f>
        <v/>
      </c>
      <c r="L75" s="50">
        <f>K75*24*60</f>
        <v/>
      </c>
      <c r="M75" s="73">
        <f>L75/60</f>
        <v/>
      </c>
    </row>
    <row r="76">
      <c r="A76" s="49" t="n">
        <v>74</v>
      </c>
      <c r="B76" s="76" t="n"/>
      <c r="C76" s="76" t="n"/>
      <c r="D76" s="76" t="n"/>
      <c r="E76" s="76" t="n"/>
      <c r="F76" s="83" t="n"/>
      <c r="G76" s="76" t="n"/>
      <c r="H76" s="76" t="n"/>
      <c r="I76" s="76" t="n"/>
      <c r="J76" s="83" t="n"/>
      <c r="K76" s="51">
        <f>J76-F76</f>
        <v/>
      </c>
      <c r="L76" s="50">
        <f>K76*24*60</f>
        <v/>
      </c>
      <c r="M76" s="73">
        <f>L76/60</f>
        <v/>
      </c>
    </row>
    <row r="77">
      <c r="A77" s="49" t="n">
        <v>75</v>
      </c>
      <c r="B77" s="76" t="n"/>
      <c r="C77" s="76" t="n"/>
      <c r="D77" s="76" t="n"/>
      <c r="E77" s="76" t="n"/>
      <c r="F77" s="83" t="n"/>
      <c r="G77" s="76" t="n"/>
      <c r="H77" s="76" t="n"/>
      <c r="I77" s="76" t="n"/>
      <c r="J77" s="83" t="n"/>
      <c r="K77" s="51">
        <f>J77-F77</f>
        <v/>
      </c>
      <c r="L77" s="50">
        <f>K77*24*60</f>
        <v/>
      </c>
      <c r="M77" s="73">
        <f>L77/60</f>
        <v/>
      </c>
    </row>
    <row r="78">
      <c r="A78" s="49" t="n">
        <v>76</v>
      </c>
      <c r="B78" s="76" t="n"/>
      <c r="C78" s="76" t="n"/>
      <c r="D78" s="76" t="n"/>
      <c r="E78" s="76" t="n"/>
      <c r="F78" s="83" t="n"/>
      <c r="G78" s="76" t="n"/>
      <c r="H78" s="76" t="n"/>
      <c r="I78" s="76" t="n"/>
      <c r="J78" s="83" t="n"/>
      <c r="K78" s="51">
        <f>J78-F78</f>
        <v/>
      </c>
      <c r="L78" s="50">
        <f>K78*24*60</f>
        <v/>
      </c>
      <c r="M78" s="73">
        <f>L78/60</f>
        <v/>
      </c>
    </row>
    <row r="79">
      <c r="A79" s="49" t="n">
        <v>77</v>
      </c>
      <c r="B79" s="76" t="n"/>
      <c r="C79" s="76" t="n"/>
      <c r="D79" s="76" t="n"/>
      <c r="E79" s="76" t="n"/>
      <c r="F79" s="83" t="n"/>
      <c r="G79" s="76" t="n"/>
      <c r="H79" s="76" t="n"/>
      <c r="I79" s="76" t="n"/>
      <c r="J79" s="83" t="n"/>
      <c r="K79" s="51">
        <f>J79-F79</f>
        <v/>
      </c>
      <c r="L79" s="50">
        <f>K79*24*60</f>
        <v/>
      </c>
      <c r="M79" s="73">
        <f>L79/60</f>
        <v/>
      </c>
    </row>
    <row r="80">
      <c r="A80" s="49" t="n">
        <v>78</v>
      </c>
      <c r="B80" s="76" t="n"/>
      <c r="C80" s="76" t="n"/>
      <c r="D80" s="76" t="n"/>
      <c r="E80" s="76" t="n"/>
      <c r="F80" s="83" t="n"/>
      <c r="G80" s="76" t="n"/>
      <c r="H80" s="76" t="n"/>
      <c r="I80" s="76" t="n"/>
      <c r="J80" s="83" t="n"/>
      <c r="K80" s="51">
        <f>J80-F80</f>
        <v/>
      </c>
      <c r="L80" s="50">
        <f>K80*24*60</f>
        <v/>
      </c>
      <c r="M80" s="73">
        <f>L80/60</f>
        <v/>
      </c>
    </row>
    <row r="81">
      <c r="A81" s="49" t="n">
        <v>79</v>
      </c>
      <c r="B81" s="76" t="n"/>
      <c r="C81" s="76" t="n"/>
      <c r="D81" s="76" t="n"/>
      <c r="E81" s="76" t="n"/>
      <c r="F81" s="83" t="n"/>
      <c r="G81" s="76" t="n"/>
      <c r="H81" s="76" t="n"/>
      <c r="I81" s="76" t="n"/>
      <c r="J81" s="83" t="n"/>
      <c r="K81" s="51">
        <f>J81-F81</f>
        <v/>
      </c>
      <c r="L81" s="50">
        <f>K81*24*60</f>
        <v/>
      </c>
      <c r="M81" s="73">
        <f>L81/60</f>
        <v/>
      </c>
    </row>
    <row r="82">
      <c r="A82" s="49" t="n">
        <v>80</v>
      </c>
      <c r="B82" s="76" t="n"/>
      <c r="C82" s="76" t="n"/>
      <c r="D82" s="76" t="n"/>
      <c r="E82" s="76" t="n"/>
      <c r="F82" s="83" t="n"/>
      <c r="G82" s="76" t="n"/>
      <c r="H82" s="76" t="n"/>
      <c r="I82" s="76" t="n"/>
      <c r="J82" s="83" t="n"/>
      <c r="K82" s="51">
        <f>J82-F82</f>
        <v/>
      </c>
      <c r="L82" s="50">
        <f>K82*24*60</f>
        <v/>
      </c>
      <c r="M82" s="73">
        <f>L82/60</f>
        <v/>
      </c>
    </row>
    <row r="83">
      <c r="A83" s="49" t="n">
        <v>81</v>
      </c>
      <c r="B83" s="76" t="n"/>
      <c r="C83" s="76" t="n"/>
      <c r="D83" s="76" t="n"/>
      <c r="E83" s="76" t="n"/>
      <c r="F83" s="83" t="n"/>
      <c r="G83" s="76" t="n"/>
      <c r="H83" s="76" t="n"/>
      <c r="I83" s="76" t="n"/>
      <c r="J83" s="83" t="n"/>
      <c r="K83" s="51">
        <f>J83-F83</f>
        <v/>
      </c>
      <c r="L83" s="50">
        <f>K83*24*60</f>
        <v/>
      </c>
      <c r="M83" s="73">
        <f>L83/60</f>
        <v/>
      </c>
    </row>
    <row r="84">
      <c r="A84" s="49" t="n">
        <v>82</v>
      </c>
      <c r="B84" s="76" t="n"/>
      <c r="C84" s="76" t="n"/>
      <c r="D84" s="76" t="n"/>
      <c r="E84" s="76" t="n"/>
      <c r="F84" s="83" t="n"/>
      <c r="G84" s="76" t="n"/>
      <c r="H84" s="76" t="n"/>
      <c r="I84" s="76" t="n"/>
      <c r="J84" s="83" t="n"/>
      <c r="K84" s="51">
        <f>J84-F84</f>
        <v/>
      </c>
      <c r="L84" s="50">
        <f>K84*24*60</f>
        <v/>
      </c>
      <c r="M84" s="73">
        <f>L84/60</f>
        <v/>
      </c>
    </row>
    <row r="85">
      <c r="A85" s="49" t="n">
        <v>83</v>
      </c>
      <c r="B85" s="76" t="n"/>
      <c r="C85" s="76" t="n"/>
      <c r="D85" s="76" t="n"/>
      <c r="E85" s="76" t="n"/>
      <c r="F85" s="83" t="n"/>
      <c r="G85" s="76" t="n"/>
      <c r="H85" s="76" t="n"/>
      <c r="I85" s="76" t="n"/>
      <c r="J85" s="83" t="n"/>
      <c r="K85" s="51">
        <f>J85-F85</f>
        <v/>
      </c>
      <c r="L85" s="50">
        <f>K85*24*60</f>
        <v/>
      </c>
      <c r="M85" s="73">
        <f>L85/60</f>
        <v/>
      </c>
    </row>
    <row r="86">
      <c r="A86" s="49" t="n">
        <v>84</v>
      </c>
      <c r="B86" s="76" t="n"/>
      <c r="C86" s="76" t="n"/>
      <c r="D86" s="76" t="n"/>
      <c r="E86" s="76" t="n"/>
      <c r="F86" s="83" t="n"/>
      <c r="G86" s="76" t="n"/>
      <c r="H86" s="76" t="n"/>
      <c r="I86" s="76" t="n"/>
      <c r="J86" s="83" t="n"/>
      <c r="K86" s="51">
        <f>J86-F86</f>
        <v/>
      </c>
      <c r="L86" s="50">
        <f>K86*24*60</f>
        <v/>
      </c>
      <c r="M86" s="73">
        <f>L86/60</f>
        <v/>
      </c>
    </row>
    <row r="87">
      <c r="A87" s="49" t="n">
        <v>85</v>
      </c>
      <c r="B87" s="76" t="n"/>
      <c r="C87" s="76" t="n"/>
      <c r="D87" s="76" t="n"/>
      <c r="E87" s="76" t="n"/>
      <c r="F87" s="76" t="n"/>
      <c r="G87" s="76" t="n"/>
      <c r="H87" s="76" t="n"/>
      <c r="I87" s="76" t="n"/>
      <c r="J87" s="83" t="n"/>
      <c r="K87" s="51">
        <f>J87-F87</f>
        <v/>
      </c>
      <c r="L87" s="50">
        <f>K87*24*60</f>
        <v/>
      </c>
      <c r="M87" s="73">
        <f>L87/60</f>
        <v/>
      </c>
    </row>
    <row r="88">
      <c r="A88" s="49" t="n">
        <v>86</v>
      </c>
      <c r="B88" s="76" t="n"/>
      <c r="C88" s="76" t="n"/>
      <c r="D88" s="76" t="n"/>
      <c r="E88" s="76" t="n"/>
      <c r="F88" s="76" t="n"/>
      <c r="G88" s="76" t="n"/>
      <c r="H88" s="76" t="n"/>
      <c r="I88" s="76" t="n"/>
      <c r="J88" s="76" t="n"/>
      <c r="K88" s="51">
        <f>J88-F88</f>
        <v/>
      </c>
      <c r="L88" s="50">
        <f>K88*24*60</f>
        <v/>
      </c>
      <c r="M88" s="73">
        <f>L88/60</f>
        <v/>
      </c>
    </row>
    <row r="89">
      <c r="A89" s="49" t="n">
        <v>87</v>
      </c>
      <c r="B89" s="76" t="n"/>
      <c r="C89" s="76" t="n"/>
      <c r="D89" s="76" t="n"/>
      <c r="E89" s="76" t="n"/>
      <c r="F89" s="76" t="n"/>
      <c r="G89" s="76" t="n"/>
      <c r="H89" s="76" t="n"/>
      <c r="I89" s="76" t="n"/>
      <c r="J89" s="76" t="n"/>
      <c r="K89" s="51">
        <f>J89-F89</f>
        <v/>
      </c>
      <c r="L89" s="50">
        <f>K89*24*60</f>
        <v/>
      </c>
      <c r="M89" s="73">
        <f>L89/60</f>
        <v/>
      </c>
    </row>
    <row r="90">
      <c r="A90" s="49" t="n">
        <v>88</v>
      </c>
      <c r="B90" s="76" t="n"/>
      <c r="C90" s="76" t="n"/>
      <c r="D90" s="76" t="n"/>
      <c r="E90" s="76" t="n"/>
      <c r="F90" s="76" t="n"/>
      <c r="G90" s="76" t="n"/>
      <c r="H90" s="76" t="n"/>
      <c r="I90" s="76" t="n"/>
      <c r="J90" s="76" t="n"/>
      <c r="K90" s="51">
        <f>J90-F90</f>
        <v/>
      </c>
      <c r="L90" s="50">
        <f>K90*24*60</f>
        <v/>
      </c>
      <c r="M90" s="73">
        <f>L90/60</f>
        <v/>
      </c>
    </row>
    <row r="91">
      <c r="A91" s="49" t="n">
        <v>89</v>
      </c>
      <c r="B91" s="76" t="n"/>
      <c r="C91" s="76" t="n"/>
      <c r="D91" s="76" t="n"/>
      <c r="E91" s="76" t="n"/>
      <c r="F91" s="76" t="n"/>
      <c r="G91" s="76" t="n"/>
      <c r="H91" s="76" t="n"/>
      <c r="I91" s="76" t="n"/>
      <c r="J91" s="76" t="n"/>
      <c r="K91" s="51">
        <f>J91-F91</f>
        <v/>
      </c>
      <c r="L91" s="50">
        <f>K91*24*60</f>
        <v/>
      </c>
      <c r="M91" s="73">
        <f>L91/60</f>
        <v/>
      </c>
    </row>
    <row r="92">
      <c r="A92" s="49" t="n">
        <v>90</v>
      </c>
      <c r="B92" s="76" t="n"/>
      <c r="C92" s="76" t="n"/>
      <c r="D92" s="76" t="n"/>
      <c r="E92" s="76" t="n"/>
      <c r="F92" s="76" t="n"/>
      <c r="G92" s="76" t="n"/>
      <c r="H92" s="76" t="n"/>
      <c r="I92" s="76" t="n"/>
      <c r="J92" s="76" t="n"/>
      <c r="K92" s="51">
        <f>J92-F92</f>
        <v/>
      </c>
      <c r="L92" s="50">
        <f>K92*24*60</f>
        <v/>
      </c>
      <c r="M92" s="73">
        <f>L92/60</f>
        <v/>
      </c>
    </row>
    <row r="93">
      <c r="A93" s="49" t="n">
        <v>91</v>
      </c>
      <c r="B93" s="76" t="n"/>
      <c r="C93" s="76" t="n"/>
      <c r="D93" s="76" t="n"/>
      <c r="E93" s="76" t="n"/>
      <c r="F93" s="76" t="n"/>
      <c r="G93" s="76" t="n"/>
      <c r="H93" s="76" t="n"/>
      <c r="I93" s="76" t="n"/>
      <c r="J93" s="76" t="n"/>
      <c r="K93" s="51">
        <f>J93-F93</f>
        <v/>
      </c>
      <c r="L93" s="50">
        <f>K93*24*60</f>
        <v/>
      </c>
      <c r="M93" s="73">
        <f>L93/60</f>
        <v/>
      </c>
    </row>
    <row r="94">
      <c r="A94" s="49" t="n">
        <v>92</v>
      </c>
      <c r="B94" s="76" t="n"/>
      <c r="C94" s="76" t="n"/>
      <c r="D94" s="76" t="n"/>
      <c r="E94" s="76" t="n"/>
      <c r="F94" s="76" t="n"/>
      <c r="G94" s="76" t="n"/>
      <c r="H94" s="76" t="n"/>
      <c r="I94" s="76" t="n"/>
      <c r="J94" s="76" t="n"/>
      <c r="K94" s="51">
        <f>J94-F94</f>
        <v/>
      </c>
      <c r="L94" s="50">
        <f>K94*24*60</f>
        <v/>
      </c>
      <c r="M94" s="73">
        <f>L94/60</f>
        <v/>
      </c>
    </row>
    <row r="95">
      <c r="A95" s="49" t="n">
        <v>93</v>
      </c>
      <c r="B95" s="76" t="n"/>
      <c r="C95" s="76" t="n"/>
      <c r="D95" s="76" t="n"/>
      <c r="E95" s="76" t="n"/>
      <c r="F95" s="76" t="n"/>
      <c r="G95" s="76" t="n"/>
      <c r="H95" s="76" t="n"/>
      <c r="I95" s="76" t="n"/>
      <c r="J95" s="76" t="n"/>
      <c r="K95" s="51">
        <f>J95-F95</f>
        <v/>
      </c>
      <c r="L95" s="50">
        <f>K95*24*60</f>
        <v/>
      </c>
      <c r="M95" s="73">
        <f>L95/60</f>
        <v/>
      </c>
    </row>
    <row r="96">
      <c r="A96" s="49" t="n">
        <v>94</v>
      </c>
      <c r="B96" s="76" t="n"/>
      <c r="C96" s="76" t="n"/>
      <c r="D96" s="76" t="n"/>
      <c r="E96" s="76" t="n"/>
      <c r="F96" s="76" t="n"/>
      <c r="G96" s="76" t="n"/>
      <c r="H96" s="76" t="n"/>
      <c r="I96" s="76" t="n"/>
      <c r="J96" s="76" t="n"/>
      <c r="K96" s="51">
        <f>J96-F96</f>
        <v/>
      </c>
      <c r="L96" s="50">
        <f>K96*24*60</f>
        <v/>
      </c>
      <c r="M96" s="73">
        <f>L96/60</f>
        <v/>
      </c>
    </row>
    <row r="97">
      <c r="A97" s="49" t="n">
        <v>95</v>
      </c>
      <c r="B97" s="76" t="n"/>
      <c r="C97" s="76" t="n"/>
      <c r="D97" s="76" t="n"/>
      <c r="E97" s="76" t="n"/>
      <c r="F97" s="76" t="n"/>
      <c r="G97" s="76" t="n"/>
      <c r="H97" s="76" t="n"/>
      <c r="I97" s="76" t="n"/>
      <c r="J97" s="76" t="n"/>
      <c r="K97" s="51">
        <f>J97-F97</f>
        <v/>
      </c>
      <c r="L97" s="50">
        <f>K97*24*60</f>
        <v/>
      </c>
      <c r="M97" s="73">
        <f>L97/60</f>
        <v/>
      </c>
    </row>
    <row r="98">
      <c r="A98" s="49" t="n">
        <v>96</v>
      </c>
      <c r="B98" s="76" t="n"/>
      <c r="C98" s="76" t="n"/>
      <c r="D98" s="76" t="n"/>
      <c r="E98" s="76" t="n"/>
      <c r="F98" s="76" t="n"/>
      <c r="G98" s="76" t="n"/>
      <c r="H98" s="76" t="n"/>
      <c r="I98" s="76" t="n"/>
      <c r="J98" s="76" t="n"/>
      <c r="K98" s="51">
        <f>J98-F98</f>
        <v/>
      </c>
      <c r="L98" s="50">
        <f>K98*24*60</f>
        <v/>
      </c>
      <c r="M98" s="73">
        <f>L98/60</f>
        <v/>
      </c>
    </row>
    <row r="99">
      <c r="A99" s="49" t="n">
        <v>97</v>
      </c>
      <c r="B99" s="76" t="n"/>
      <c r="C99" s="76" t="n"/>
      <c r="D99" s="76" t="n"/>
      <c r="E99" s="76" t="n"/>
      <c r="F99" s="76" t="n"/>
      <c r="G99" s="76" t="n"/>
      <c r="H99" s="76" t="n"/>
      <c r="I99" s="76" t="n"/>
      <c r="J99" s="76" t="n"/>
      <c r="K99" s="51">
        <f>J99-F99</f>
        <v/>
      </c>
      <c r="L99" s="50">
        <f>K99*24*60</f>
        <v/>
      </c>
      <c r="M99" s="73">
        <f>L99/60</f>
        <v/>
      </c>
    </row>
    <row r="100">
      <c r="A100" s="49" t="n">
        <v>98</v>
      </c>
      <c r="B100" s="76" t="n"/>
      <c r="C100" s="76" t="n"/>
      <c r="D100" s="76" t="n"/>
      <c r="E100" s="76" t="n"/>
      <c r="F100" s="76" t="n"/>
      <c r="G100" s="76" t="n"/>
      <c r="H100" s="76" t="n"/>
      <c r="I100" s="76" t="n"/>
      <c r="J100" s="76" t="n"/>
      <c r="K100" s="51">
        <f>J100-F100</f>
        <v/>
      </c>
      <c r="L100" s="50">
        <f>K100*24*60</f>
        <v/>
      </c>
      <c r="M100" s="73">
        <f>L100/60</f>
        <v/>
      </c>
    </row>
  </sheetData>
  <mergeCells count="1">
    <mergeCell ref="A1:M1"/>
  </mergeCells>
  <dataValidations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12.xml><?xml version="1.0" encoding="utf-8"?>
<worksheet xmlns="http://schemas.openxmlformats.org/spreadsheetml/2006/main">
  <sheetPr>
    <outlinePr summaryBelow="1" summaryRight="1"/>
    <pageSetUpPr/>
  </sheetPr>
  <dimension ref="A1:M1047807"/>
  <sheetViews>
    <sheetView zoomScale="90" zoomScaleNormal="90" workbookViewId="0">
      <pane ySplit="2" topLeftCell="A3" activePane="bottomLeft" state="frozen"/>
      <selection pane="bottomLeft" activeCell="G42" sqref="G42"/>
      <selection activeCell="G42" sqref="G42"/>
    </sheetView>
  </sheetViews>
  <sheetFormatPr baseColWidth="8" defaultColWidth="11.42578125" defaultRowHeight="14.1"/>
  <cols>
    <col width="5" bestFit="1" customWidth="1" style="10" min="1" max="1"/>
    <col width="48.140625" customWidth="1" style="10" min="2" max="2"/>
    <col width="33.140625" customWidth="1" style="11" min="3" max="3"/>
    <col width="30.28515625" customWidth="1" style="10" min="4" max="4"/>
    <col width="77.7109375" customWidth="1" style="10" min="5" max="5"/>
    <col width="18.28515625" customWidth="1" style="10" min="6" max="6"/>
    <col width="61" bestFit="1" customWidth="1" style="11" min="7" max="7"/>
    <col width="28" bestFit="1" customWidth="1" style="11" min="8" max="8"/>
    <col width="134.42578125" bestFit="1" customWidth="1" style="10" min="9" max="9"/>
    <col width="21.28515625" customWidth="1" style="10" min="10" max="10"/>
    <col width="16.28515625" customWidth="1" style="10" min="11" max="11"/>
    <col width="12.28515625" customWidth="1" style="10" min="12" max="12"/>
    <col width="13" customWidth="1" style="10" min="13" max="13"/>
    <col width="11.42578125" customWidth="1" style="10" min="14" max="16384"/>
  </cols>
  <sheetData>
    <row r="1" ht="36" customFormat="1" customHeight="1" s="6" thickBot="1">
      <c r="A1" s="329" t="inlineStr">
        <is>
          <t>Planilla Control de Eventos Data Center</t>
        </is>
      </c>
      <c r="B1" s="359" t="n"/>
      <c r="C1" s="359" t="n"/>
      <c r="D1" s="359" t="n"/>
      <c r="E1" s="359" t="n"/>
      <c r="F1" s="359" t="n"/>
      <c r="G1" s="359" t="n"/>
      <c r="H1" s="359" t="n"/>
      <c r="I1" s="359" t="n"/>
      <c r="J1" s="359" t="n"/>
      <c r="K1" s="359" t="n"/>
      <c r="L1" s="359" t="n"/>
      <c r="M1" s="359" t="n"/>
    </row>
    <row r="2" ht="42.75" customFormat="1" customHeight="1" s="6" thickTop="1">
      <c r="A2" s="48" t="inlineStr">
        <is>
          <t>Item</t>
        </is>
      </c>
      <c r="B2" s="48" t="inlineStr">
        <is>
          <t>Dispositivo</t>
        </is>
      </c>
      <c r="C2" s="48" t="inlineStr">
        <is>
          <t>Analista</t>
        </is>
      </c>
      <c r="D2" s="95" t="inlineStr">
        <is>
          <t>Numero de Ticket</t>
        </is>
      </c>
      <c r="E2" s="95" t="inlineStr">
        <is>
          <t>Descripcion del Evento</t>
        </is>
      </c>
      <c r="F2" s="95" t="inlineStr">
        <is>
          <t xml:space="preserve">Fecha/Hora Inicio Evento </t>
        </is>
      </c>
      <c r="G2" s="48" t="inlineStr">
        <is>
          <t>Causa</t>
        </is>
      </c>
      <c r="H2" s="48" t="inlineStr">
        <is>
          <t>Areas Involucradas</t>
        </is>
      </c>
      <c r="I2" s="95" t="inlineStr">
        <is>
          <t>Solucion</t>
        </is>
      </c>
      <c r="J2" s="95" t="inlineStr">
        <is>
          <t xml:space="preserve">Fecha/Hora Fin Evento </t>
        </is>
      </c>
      <c r="K2" s="95" t="inlineStr">
        <is>
          <t>Tiempo Total</t>
        </is>
      </c>
      <c r="L2" s="95" t="inlineStr">
        <is>
          <t>Tiempo Minutos</t>
        </is>
      </c>
      <c r="M2" s="95" t="inlineStr">
        <is>
          <t>Tiempo en Horas</t>
        </is>
      </c>
    </row>
    <row r="3" ht="14.45" customFormat="1" customHeight="1" s="62">
      <c r="A3" s="49" t="n">
        <v>1</v>
      </c>
      <c r="B3" s="55" t="n"/>
      <c r="C3" s="19" t="n"/>
      <c r="D3" s="113" t="n"/>
      <c r="E3" s="55" t="n"/>
      <c r="F3" s="114" t="n"/>
      <c r="G3" s="55" t="n"/>
      <c r="H3" s="96" t="n"/>
      <c r="I3" s="2" t="n"/>
      <c r="J3" s="114" t="n"/>
      <c r="K3" s="51">
        <f>J3-F3</f>
        <v/>
      </c>
      <c r="L3" s="50">
        <f>K3*24*60</f>
        <v/>
      </c>
      <c r="M3" s="73">
        <f>L3/60</f>
        <v/>
      </c>
    </row>
    <row r="4" ht="14.45" customFormat="1" customHeight="1" s="62">
      <c r="A4" s="49" t="n">
        <v>2</v>
      </c>
      <c r="B4" s="55" t="n"/>
      <c r="C4" s="19" t="n"/>
      <c r="D4" s="113" t="n"/>
      <c r="E4" s="55" t="n"/>
      <c r="F4" s="114" t="n"/>
      <c r="G4" s="55" t="n"/>
      <c r="H4" s="96" t="n"/>
      <c r="I4" s="2" t="n"/>
      <c r="J4" s="114" t="n"/>
      <c r="K4" s="51">
        <f>J4-F4</f>
        <v/>
      </c>
      <c r="L4" s="50">
        <f>K4*24*60</f>
        <v/>
      </c>
      <c r="M4" s="73">
        <f>L4/60</f>
        <v/>
      </c>
    </row>
    <row r="5" ht="14.25" customFormat="1" customHeight="1" s="62">
      <c r="A5" s="49" t="n">
        <v>3</v>
      </c>
      <c r="B5" s="52" t="n"/>
      <c r="C5" s="55" t="n"/>
      <c r="D5" s="52" t="n"/>
      <c r="E5" s="2" t="n"/>
      <c r="F5" s="94" t="n"/>
      <c r="G5" s="2" t="n"/>
      <c r="H5" s="96" t="n"/>
      <c r="I5" s="98" t="n"/>
      <c r="J5" s="94" t="n"/>
      <c r="K5" s="51">
        <f>J5-F5</f>
        <v/>
      </c>
      <c r="L5" s="50">
        <f>K5*24*60</f>
        <v/>
      </c>
      <c r="M5" s="73">
        <f>L5/60</f>
        <v/>
      </c>
    </row>
    <row r="6" ht="14.45" customFormat="1" customHeight="1" s="61">
      <c r="A6" s="49" t="n">
        <v>4</v>
      </c>
      <c r="B6" s="9" t="n"/>
      <c r="C6" s="55" t="n"/>
      <c r="D6" s="52" t="n"/>
      <c r="E6" s="9" t="n"/>
      <c r="F6" s="94" t="n"/>
      <c r="G6" s="2" t="n"/>
      <c r="H6" s="58" t="n"/>
      <c r="I6" s="9" t="n"/>
      <c r="J6" s="94" t="n"/>
      <c r="K6" s="51">
        <f>J6-F6</f>
        <v/>
      </c>
      <c r="L6" s="50">
        <f>K6*24*60</f>
        <v/>
      </c>
      <c r="M6" s="73">
        <f>L6/60</f>
        <v/>
      </c>
    </row>
    <row r="7" ht="14.45" customFormat="1" customHeight="1" s="61">
      <c r="A7" s="49" t="n">
        <v>5</v>
      </c>
      <c r="B7" s="9" t="n"/>
      <c r="C7" s="55" t="n"/>
      <c r="D7" s="52" t="n"/>
      <c r="E7" s="9" t="n"/>
      <c r="F7" s="94" t="n"/>
      <c r="G7" s="2" t="n"/>
      <c r="H7" s="58" t="n"/>
      <c r="I7" s="9" t="n"/>
      <c r="J7" s="94" t="n"/>
      <c r="K7" s="51">
        <f>J7-F7</f>
        <v/>
      </c>
      <c r="L7" s="50">
        <f>K7*24*60</f>
        <v/>
      </c>
      <c r="M7" s="73">
        <f>L7/60</f>
        <v/>
      </c>
    </row>
    <row r="8" ht="14.45" customFormat="1" customHeight="1" s="61">
      <c r="A8" s="49" t="n">
        <v>6</v>
      </c>
      <c r="B8" s="9" t="n"/>
      <c r="C8" s="55" t="n"/>
      <c r="D8" s="52" t="n"/>
      <c r="E8" s="9" t="n"/>
      <c r="F8" s="94" t="n"/>
      <c r="G8" s="2" t="n"/>
      <c r="H8" s="58" t="n"/>
      <c r="I8" s="9" t="n"/>
      <c r="J8" s="59" t="n"/>
      <c r="K8" s="51">
        <f>J8-F8</f>
        <v/>
      </c>
      <c r="L8" s="50">
        <f>K8*24*60</f>
        <v/>
      </c>
      <c r="M8" s="73">
        <f>L8/60</f>
        <v/>
      </c>
    </row>
    <row r="9" ht="14.45" customFormat="1" customHeight="1" s="61">
      <c r="A9" s="49" t="n">
        <v>7</v>
      </c>
      <c r="B9" s="54" t="n"/>
      <c r="C9" s="55" t="n"/>
      <c r="D9" s="52" t="n"/>
      <c r="E9" s="54" t="n"/>
      <c r="F9" s="56" t="n"/>
      <c r="G9" s="64" t="n"/>
      <c r="H9" s="54" t="n"/>
      <c r="I9" s="2" t="n"/>
      <c r="J9" s="59" t="n"/>
      <c r="K9" s="51">
        <f>J9-F9</f>
        <v/>
      </c>
      <c r="L9" s="50">
        <f>K9*24*60</f>
        <v/>
      </c>
      <c r="M9" s="73">
        <f>L9/60</f>
        <v/>
      </c>
    </row>
    <row r="10" ht="14.45" customFormat="1" customHeight="1" s="61">
      <c r="A10" s="49" t="n">
        <v>8</v>
      </c>
      <c r="B10" s="55" t="n"/>
      <c r="C10" s="55" t="n"/>
      <c r="D10" s="52" t="n"/>
      <c r="E10" s="54" t="n"/>
      <c r="F10" s="56" t="n"/>
      <c r="G10" s="64" t="n"/>
      <c r="H10" s="54" t="n"/>
      <c r="I10" s="97" t="n"/>
      <c r="J10" s="59" t="n"/>
      <c r="K10" s="51">
        <f>J10-F10</f>
        <v/>
      </c>
      <c r="L10" s="50">
        <f>K10*24*60</f>
        <v/>
      </c>
      <c r="M10" s="73">
        <f>L10/60</f>
        <v/>
      </c>
    </row>
    <row r="11" ht="14.45" customFormat="1" customHeight="1" s="61">
      <c r="A11" s="49" t="n">
        <v>9</v>
      </c>
      <c r="B11" s="55" t="n"/>
      <c r="C11" s="55" t="n"/>
      <c r="D11" s="52" t="n"/>
      <c r="E11" s="54" t="n"/>
      <c r="F11" s="56" t="n"/>
      <c r="G11" s="64" t="n"/>
      <c r="H11" s="54" t="n"/>
      <c r="I11" s="64" t="n"/>
      <c r="J11" s="59" t="n"/>
      <c r="K11" s="51">
        <f>J11-F11</f>
        <v/>
      </c>
      <c r="L11" s="50">
        <f>K11*24*60</f>
        <v/>
      </c>
      <c r="M11" s="73">
        <f>L11/60</f>
        <v/>
      </c>
    </row>
    <row r="12" ht="14.45" customFormat="1" customHeight="1" s="61">
      <c r="A12" s="49" t="n">
        <v>10</v>
      </c>
      <c r="B12" s="55" t="n"/>
      <c r="C12" s="55" t="n"/>
      <c r="D12" s="52" t="n"/>
      <c r="E12" s="54" t="n"/>
      <c r="F12" s="56" t="n"/>
      <c r="G12" s="64" t="n"/>
      <c r="H12" s="54" t="n"/>
      <c r="I12" s="64" t="n"/>
      <c r="J12" s="59" t="n"/>
      <c r="K12" s="51">
        <f>J12-F12</f>
        <v/>
      </c>
      <c r="L12" s="50">
        <f>K12*24*60</f>
        <v/>
      </c>
      <c r="M12" s="73">
        <f>L12/60</f>
        <v/>
      </c>
    </row>
    <row r="13" ht="14.45" customFormat="1" customHeight="1" s="61">
      <c r="A13" s="49" t="n">
        <v>11</v>
      </c>
      <c r="B13" s="55" t="n"/>
      <c r="C13" s="55" t="n"/>
      <c r="D13" s="52" t="n"/>
      <c r="E13" s="54" t="n"/>
      <c r="F13" s="56" t="n"/>
      <c r="G13" s="64" t="n"/>
      <c r="H13" s="54" t="n"/>
      <c r="I13" s="64" t="n"/>
      <c r="J13" s="59" t="n"/>
      <c r="K13" s="51">
        <f>J13-F13</f>
        <v/>
      </c>
      <c r="L13" s="50">
        <f>K13*24*60</f>
        <v/>
      </c>
      <c r="M13" s="73">
        <f>L13/60</f>
        <v/>
      </c>
    </row>
    <row r="14" ht="14.45" customFormat="1" customHeight="1" s="61">
      <c r="A14" s="49" t="n">
        <v>12</v>
      </c>
      <c r="B14" s="55" t="n"/>
      <c r="C14" s="55" t="n"/>
      <c r="D14" s="52" t="n"/>
      <c r="E14" s="54" t="n"/>
      <c r="F14" s="56" t="n"/>
      <c r="G14" s="64" t="n"/>
      <c r="H14" s="54" t="n"/>
      <c r="I14" s="64" t="n"/>
      <c r="J14" s="59" t="n"/>
      <c r="K14" s="51">
        <f>J14-F14</f>
        <v/>
      </c>
      <c r="L14" s="50">
        <f>K14*24*60</f>
        <v/>
      </c>
      <c r="M14" s="73">
        <f>L14/60</f>
        <v/>
      </c>
    </row>
    <row r="15" ht="14.45" customFormat="1" customHeight="1" s="61">
      <c r="A15" s="49" t="n">
        <v>13</v>
      </c>
      <c r="B15" s="55" t="n"/>
      <c r="C15" s="55" t="n"/>
      <c r="D15" s="52" t="n"/>
      <c r="E15" s="54" t="n"/>
      <c r="F15" s="56" t="n"/>
      <c r="G15" s="64" t="n"/>
      <c r="H15" s="54" t="n"/>
      <c r="I15" s="64" t="n"/>
      <c r="J15" s="59" t="n"/>
      <c r="K15" s="51">
        <f>J15-F15</f>
        <v/>
      </c>
      <c r="L15" s="50">
        <f>K15*24*60</f>
        <v/>
      </c>
      <c r="M15" s="73">
        <f>L15/60</f>
        <v/>
      </c>
    </row>
    <row r="16" ht="14.45" customFormat="1" customHeight="1" s="61">
      <c r="A16" s="49" t="n">
        <v>14</v>
      </c>
      <c r="B16" s="55" t="n"/>
      <c r="C16" s="55" t="n"/>
      <c r="D16" s="52" t="n"/>
      <c r="E16" s="54" t="n"/>
      <c r="F16" s="56" t="n"/>
      <c r="G16" s="64" t="n"/>
      <c r="H16" s="54" t="n"/>
      <c r="I16" s="64" t="n"/>
      <c r="J16" s="59" t="n"/>
      <c r="K16" s="51">
        <f>J16-F16</f>
        <v/>
      </c>
      <c r="L16" s="50">
        <f>K16*24*60</f>
        <v/>
      </c>
      <c r="M16" s="73">
        <f>L16/60</f>
        <v/>
      </c>
    </row>
    <row r="17" ht="14.45" customFormat="1" customHeight="1" s="61">
      <c r="A17" s="49" t="n">
        <v>15</v>
      </c>
      <c r="B17" s="55" t="n"/>
      <c r="C17" s="55" t="n"/>
      <c r="D17" s="53" t="n"/>
      <c r="E17" s="54" t="n"/>
      <c r="F17" s="56" t="n"/>
      <c r="G17" s="57" t="n"/>
      <c r="H17" s="58" t="n"/>
      <c r="I17" s="64" t="n"/>
      <c r="J17" s="59" t="n"/>
      <c r="K17" s="51">
        <f>J17-F17</f>
        <v/>
      </c>
      <c r="L17" s="50">
        <f>K17*24*60</f>
        <v/>
      </c>
      <c r="M17" s="73">
        <f>L17/60</f>
        <v/>
      </c>
    </row>
    <row r="18" ht="14.45" customFormat="1" customHeight="1" s="61">
      <c r="A18" s="49" t="n">
        <v>16</v>
      </c>
      <c r="B18" s="54" t="n"/>
      <c r="C18" s="55" t="n"/>
      <c r="D18" s="52" t="n"/>
      <c r="E18" s="55" t="n"/>
      <c r="F18" s="56" t="n"/>
      <c r="G18" s="64" t="n"/>
      <c r="H18" s="58" t="n"/>
      <c r="I18" s="64" t="n"/>
      <c r="J18" s="59" t="n"/>
      <c r="K18" s="51">
        <f>J18-F18</f>
        <v/>
      </c>
      <c r="L18" s="50">
        <f>K18*24*60</f>
        <v/>
      </c>
      <c r="M18" s="73">
        <f>L18/60</f>
        <v/>
      </c>
    </row>
    <row r="19" ht="14.25" customFormat="1" customHeight="1" s="61">
      <c r="A19" s="49" t="n">
        <v>17</v>
      </c>
      <c r="B19" s="54" t="n"/>
      <c r="C19" s="55" t="n"/>
      <c r="D19" s="52" t="n"/>
      <c r="E19" s="54" t="n"/>
      <c r="F19" s="56" t="n"/>
      <c r="G19" s="64" t="n"/>
      <c r="H19" s="58" t="n"/>
      <c r="I19" s="64" t="n"/>
      <c r="J19" s="59" t="n"/>
      <c r="K19" s="51">
        <f>J19-F19</f>
        <v/>
      </c>
      <c r="L19" s="50">
        <f>K19*24*60</f>
        <v/>
      </c>
      <c r="M19" s="73">
        <f>L19/60</f>
        <v/>
      </c>
    </row>
    <row r="20" ht="14.25" customFormat="1" customHeight="1" s="62">
      <c r="A20" s="49" t="n">
        <v>18</v>
      </c>
      <c r="B20" s="54" t="n"/>
      <c r="C20" s="55" t="n"/>
      <c r="D20" s="52" t="n"/>
      <c r="E20" s="54" t="n"/>
      <c r="F20" s="56" t="n"/>
      <c r="G20" s="64" t="n"/>
      <c r="H20" s="58" t="n"/>
      <c r="I20" s="57" t="n"/>
      <c r="J20" s="59" t="n"/>
      <c r="K20" s="51">
        <f>J20-F20</f>
        <v/>
      </c>
      <c r="L20" s="50">
        <f>K20*24*60</f>
        <v/>
      </c>
      <c r="M20" s="73">
        <f>L20/60</f>
        <v/>
      </c>
    </row>
    <row r="21" ht="15" customFormat="1" customHeight="1" s="60">
      <c r="A21" s="49" t="n">
        <v>19</v>
      </c>
      <c r="B21" s="54" t="n"/>
      <c r="C21" s="55" t="n"/>
      <c r="D21" s="52" t="n"/>
      <c r="E21" s="54" t="n"/>
      <c r="F21" s="63" t="n"/>
      <c r="G21" s="64" t="n"/>
      <c r="H21" s="54" t="n"/>
      <c r="I21" s="57" t="n"/>
      <c r="J21" s="59" t="n"/>
      <c r="K21" s="51">
        <f>J21-F21</f>
        <v/>
      </c>
      <c r="L21" s="50">
        <f>K21*24*60</f>
        <v/>
      </c>
      <c r="M21" s="73">
        <f>L21/60</f>
        <v/>
      </c>
    </row>
    <row r="22" ht="14.45" customFormat="1" customHeight="1" s="61">
      <c r="A22" s="49" t="n">
        <v>20</v>
      </c>
      <c r="B22" s="65" t="n"/>
      <c r="C22" s="65" t="n"/>
      <c r="D22" s="53" t="n"/>
      <c r="E22" s="54" t="n"/>
      <c r="F22" s="56" t="n"/>
      <c r="G22" s="64" t="n"/>
      <c r="H22" s="58" t="n"/>
      <c r="I22" s="57" t="n"/>
      <c r="J22" s="59" t="n"/>
      <c r="K22" s="51">
        <f>J22-F22</f>
        <v/>
      </c>
      <c r="L22" s="50">
        <f>K22*24*60</f>
        <v/>
      </c>
      <c r="M22" s="73">
        <f>L22/60</f>
        <v/>
      </c>
    </row>
    <row r="23" ht="14.45" customFormat="1" customHeight="1" s="60">
      <c r="A23" s="49" t="n">
        <v>21</v>
      </c>
      <c r="B23" s="54" t="n"/>
      <c r="C23" s="55" t="n"/>
      <c r="D23" s="52" t="n"/>
      <c r="E23" s="54" t="n"/>
      <c r="F23" s="63" t="n"/>
      <c r="G23" s="64" t="n"/>
      <c r="H23" s="54" t="n"/>
      <c r="I23" s="64" t="n"/>
      <c r="J23" s="66" t="n"/>
      <c r="K23" s="51">
        <f>J23-F23</f>
        <v/>
      </c>
      <c r="L23" s="50">
        <f>K23*24*60</f>
        <v/>
      </c>
      <c r="M23" s="73">
        <f>L23/60</f>
        <v/>
      </c>
    </row>
    <row r="24" ht="14.45" customFormat="1" customHeight="1" s="60">
      <c r="A24" s="49" t="n">
        <v>22</v>
      </c>
      <c r="B24" s="54" t="n"/>
      <c r="C24" s="55" t="n"/>
      <c r="D24" s="52" t="n"/>
      <c r="E24" s="54" t="n"/>
      <c r="F24" s="63" t="n"/>
      <c r="G24" s="64" t="n"/>
      <c r="H24" s="54" t="n"/>
      <c r="I24" s="64" t="n"/>
      <c r="J24" s="66" t="n"/>
      <c r="K24" s="51">
        <f>J24-F24</f>
        <v/>
      </c>
      <c r="L24" s="50">
        <f>K24*24*60</f>
        <v/>
      </c>
      <c r="M24" s="73">
        <f>L24/60</f>
        <v/>
      </c>
    </row>
    <row r="25" ht="14.45" customFormat="1" customHeight="1" s="60">
      <c r="A25" s="49" t="n">
        <v>23</v>
      </c>
      <c r="B25" s="58" t="n"/>
      <c r="C25" s="55" t="n"/>
      <c r="D25" s="53" t="n"/>
      <c r="E25" s="54" t="n"/>
      <c r="F25" s="56" t="n"/>
      <c r="G25" s="64" t="n"/>
      <c r="H25" s="58" t="n"/>
      <c r="I25" s="64" t="n"/>
      <c r="J25" s="66" t="n"/>
      <c r="K25" s="51">
        <f>J25-F25</f>
        <v/>
      </c>
      <c r="L25" s="50">
        <f>K25*24*60</f>
        <v/>
      </c>
      <c r="M25" s="73">
        <f>L25/60</f>
        <v/>
      </c>
    </row>
    <row r="26" ht="14.45" customFormat="1" customHeight="1" s="60">
      <c r="A26" s="49" t="n">
        <v>24</v>
      </c>
      <c r="B26" s="58" t="n"/>
      <c r="C26" s="55" t="n"/>
      <c r="D26" s="52" t="n"/>
      <c r="E26" s="54" t="n"/>
      <c r="F26" s="56" t="n"/>
      <c r="G26" s="57" t="n"/>
      <c r="H26" s="54" t="n"/>
      <c r="I26" s="57" t="n"/>
      <c r="J26" s="59" t="n"/>
      <c r="K26" s="51">
        <f>J26-F26</f>
        <v/>
      </c>
      <c r="L26" s="50">
        <f>K26*24*60</f>
        <v/>
      </c>
      <c r="M26" s="73">
        <f>L26/60</f>
        <v/>
      </c>
    </row>
    <row r="27" ht="14.45" customFormat="1" customHeight="1" s="60">
      <c r="A27" s="49" t="n">
        <v>25</v>
      </c>
      <c r="B27" s="58" t="n"/>
      <c r="C27" s="65" t="n"/>
      <c r="D27" s="53" t="n"/>
      <c r="E27" s="54" t="n"/>
      <c r="F27" s="56" t="n"/>
      <c r="G27" s="57" t="n"/>
      <c r="H27" s="58" t="n"/>
      <c r="I27" s="57" t="n"/>
      <c r="J27" s="59" t="n"/>
      <c r="K27" s="51">
        <f>J27-F27</f>
        <v/>
      </c>
      <c r="L27" s="50">
        <f>K27*24*60</f>
        <v/>
      </c>
      <c r="M27" s="73">
        <f>L27/60</f>
        <v/>
      </c>
    </row>
    <row r="28" ht="14.45" customFormat="1" customHeight="1" s="60">
      <c r="A28" s="49" t="n">
        <v>26</v>
      </c>
      <c r="B28" s="58" t="n"/>
      <c r="C28" s="65" t="n"/>
      <c r="D28" s="53" t="n"/>
      <c r="E28" s="54" t="n"/>
      <c r="F28" s="56" t="n"/>
      <c r="G28" s="57" t="n"/>
      <c r="H28" s="58" t="n"/>
      <c r="I28" s="57" t="n"/>
      <c r="J28" s="59" t="n"/>
      <c r="K28" s="51">
        <f>J28-F28</f>
        <v/>
      </c>
      <c r="L28" s="50">
        <f>K28*24*60</f>
        <v/>
      </c>
      <c r="M28" s="73">
        <f>L28/60</f>
        <v/>
      </c>
    </row>
    <row r="29" ht="14.45" customFormat="1" customHeight="1" s="60">
      <c r="A29" s="49" t="n">
        <v>27</v>
      </c>
      <c r="B29" s="58" t="n"/>
      <c r="C29" s="65" t="n"/>
      <c r="D29" s="53" t="n"/>
      <c r="E29" s="54" t="n"/>
      <c r="F29" s="56" t="n"/>
      <c r="G29" s="57" t="n"/>
      <c r="H29" s="58" t="n"/>
      <c r="I29" s="57" t="n"/>
      <c r="J29" s="59" t="n"/>
      <c r="K29" s="51">
        <f>J29-F29</f>
        <v/>
      </c>
      <c r="L29" s="50">
        <f>K29*24*60</f>
        <v/>
      </c>
      <c r="M29" s="73">
        <f>L29/60</f>
        <v/>
      </c>
    </row>
    <row r="30" ht="14.45" customFormat="1" customHeight="1" s="60">
      <c r="A30" s="49" t="n">
        <v>28</v>
      </c>
      <c r="B30" s="58" t="n"/>
      <c r="C30" s="65" t="n"/>
      <c r="D30" s="53" t="n"/>
      <c r="E30" s="54" t="n"/>
      <c r="F30" s="56" t="n"/>
      <c r="G30" s="57" t="n"/>
      <c r="H30" s="58" t="n"/>
      <c r="I30" s="57" t="n"/>
      <c r="J30" s="59" t="n"/>
      <c r="K30" s="51">
        <f>J30-F30</f>
        <v/>
      </c>
      <c r="L30" s="50">
        <f>K30*24*60</f>
        <v/>
      </c>
      <c r="M30" s="73">
        <f>L30/60</f>
        <v/>
      </c>
    </row>
    <row r="31" ht="14.45" customFormat="1" customHeight="1" s="60">
      <c r="A31" s="49" t="n">
        <v>29</v>
      </c>
      <c r="B31" s="54" t="n"/>
      <c r="C31" s="55" t="n"/>
      <c r="D31" s="52" t="n"/>
      <c r="E31" s="54" t="n"/>
      <c r="F31" s="56" t="n"/>
      <c r="G31" s="57" t="n"/>
      <c r="H31" s="58" t="n"/>
      <c r="I31" s="57" t="n"/>
      <c r="J31" s="59" t="n"/>
      <c r="K31" s="51">
        <f>J31-F31</f>
        <v/>
      </c>
      <c r="L31" s="50">
        <f>K31*24*60</f>
        <v/>
      </c>
      <c r="M31" s="73">
        <f>L31/60</f>
        <v/>
      </c>
    </row>
    <row r="32" ht="14.45" customFormat="1" customHeight="1" s="60">
      <c r="A32" s="49" t="n">
        <v>30</v>
      </c>
      <c r="B32" s="54" t="n"/>
      <c r="C32" s="55" t="n"/>
      <c r="D32" s="52" t="n"/>
      <c r="E32" s="54" t="n"/>
      <c r="F32" s="56" t="n"/>
      <c r="G32" s="57" t="n"/>
      <c r="H32" s="58" t="n"/>
      <c r="I32" s="57" t="n"/>
      <c r="J32" s="59" t="n"/>
      <c r="K32" s="51">
        <f>J32-F32</f>
        <v/>
      </c>
      <c r="L32" s="50">
        <f>K32*24*60</f>
        <v/>
      </c>
      <c r="M32" s="73">
        <f>L32/60</f>
        <v/>
      </c>
    </row>
    <row r="33" ht="14.45" customFormat="1" customHeight="1" s="60">
      <c r="A33" s="49" t="n">
        <v>31</v>
      </c>
      <c r="B33" s="54" t="n"/>
      <c r="C33" s="65" t="n"/>
      <c r="D33" s="52" t="n"/>
      <c r="E33" s="54" t="n"/>
      <c r="F33" s="56" t="n"/>
      <c r="G33" s="67" t="n"/>
      <c r="H33" s="54" t="n"/>
      <c r="I33" s="67" t="n"/>
      <c r="J33" s="59" t="n"/>
      <c r="K33" s="51">
        <f>J33-F33</f>
        <v/>
      </c>
      <c r="L33" s="50">
        <f>K33*24*60</f>
        <v/>
      </c>
      <c r="M33" s="73">
        <f>L33/60</f>
        <v/>
      </c>
    </row>
    <row r="34" ht="14.45" customFormat="1" customHeight="1" s="60">
      <c r="A34" s="49" t="n">
        <v>32</v>
      </c>
      <c r="B34" s="54" t="n"/>
      <c r="C34" s="65" t="n"/>
      <c r="D34" s="52" t="n"/>
      <c r="E34" s="54" t="n"/>
      <c r="F34" s="56" t="n"/>
      <c r="G34" s="67" t="n"/>
      <c r="H34" s="54" t="n"/>
      <c r="I34" s="67" t="n"/>
      <c r="J34" s="59" t="n"/>
      <c r="K34" s="51">
        <f>J34-F34</f>
        <v/>
      </c>
      <c r="L34" s="50">
        <f>K34*24*60</f>
        <v/>
      </c>
      <c r="M34" s="73">
        <f>L34/60</f>
        <v/>
      </c>
    </row>
    <row r="35" ht="14.45" customFormat="1" customHeight="1" s="60">
      <c r="A35" s="49" t="n">
        <v>33</v>
      </c>
      <c r="B35" s="54" t="n"/>
      <c r="C35" s="65" t="n"/>
      <c r="D35" s="52" t="n"/>
      <c r="E35" s="54" t="n"/>
      <c r="F35" s="56" t="n"/>
      <c r="G35" s="67" t="n"/>
      <c r="H35" s="54" t="n"/>
      <c r="I35" s="67" t="n"/>
      <c r="J35" s="59" t="n"/>
      <c r="K35" s="51">
        <f>J35-F35</f>
        <v/>
      </c>
      <c r="L35" s="50">
        <f>K35*24*60</f>
        <v/>
      </c>
      <c r="M35" s="73">
        <f>L35/60</f>
        <v/>
      </c>
    </row>
    <row r="36" ht="14.45" customFormat="1" customHeight="1" s="60">
      <c r="A36" s="49" t="n">
        <v>34</v>
      </c>
      <c r="B36" s="68" t="n"/>
      <c r="C36" s="55" t="n"/>
      <c r="D36" s="69" t="n"/>
      <c r="E36" s="54" t="n"/>
      <c r="F36" s="56" t="n"/>
      <c r="G36" s="64" t="n"/>
      <c r="H36" s="58" t="n"/>
      <c r="I36" s="57" t="n"/>
      <c r="J36" s="59" t="n"/>
      <c r="K36" s="51">
        <f>J36-F36</f>
        <v/>
      </c>
      <c r="L36" s="50">
        <f>K36*24*60</f>
        <v/>
      </c>
      <c r="M36" s="73">
        <f>L36/60</f>
        <v/>
      </c>
    </row>
    <row r="37" ht="14.45" customFormat="1" customHeight="1" s="60">
      <c r="A37" s="49" t="n">
        <v>35</v>
      </c>
      <c r="B37" s="54" t="n"/>
      <c r="C37" s="65" t="n"/>
      <c r="D37" s="52" t="n"/>
      <c r="E37" s="54" t="n"/>
      <c r="F37" s="56" t="n"/>
      <c r="G37" s="64" t="n"/>
      <c r="H37" s="58" t="n"/>
      <c r="I37" s="57" t="n"/>
      <c r="J37" s="59" t="n"/>
      <c r="K37" s="51">
        <f>J37-F37</f>
        <v/>
      </c>
      <c r="L37" s="50">
        <f>K37*24*60</f>
        <v/>
      </c>
      <c r="M37" s="73">
        <f>L37/60</f>
        <v/>
      </c>
    </row>
    <row r="38" ht="14.45" customFormat="1" customHeight="1" s="60">
      <c r="A38" s="49" t="n">
        <v>36</v>
      </c>
      <c r="B38" s="54" t="n"/>
      <c r="C38" s="65" t="n"/>
      <c r="D38" s="52" t="n"/>
      <c r="E38" s="54" t="n"/>
      <c r="F38" s="56" t="n"/>
      <c r="G38" s="64" t="n"/>
      <c r="H38" s="58" t="n"/>
      <c r="I38" s="57" t="n"/>
      <c r="J38" s="59" t="n"/>
      <c r="K38" s="51">
        <f>J38-F38</f>
        <v/>
      </c>
      <c r="L38" s="50">
        <f>K38*24*60</f>
        <v/>
      </c>
      <c r="M38" s="73">
        <f>L38/60</f>
        <v/>
      </c>
    </row>
    <row r="39" ht="14.45" customFormat="1" customHeight="1" s="60">
      <c r="A39" s="49" t="n">
        <v>37</v>
      </c>
      <c r="B39" s="54" t="n"/>
      <c r="C39" s="65" t="n"/>
      <c r="D39" s="52" t="n"/>
      <c r="E39" s="58" t="n"/>
      <c r="F39" s="56" t="n"/>
      <c r="G39" s="70" t="n"/>
      <c r="H39" s="58" t="n"/>
      <c r="I39" s="67" t="n"/>
      <c r="J39" s="59" t="n"/>
      <c r="K39" s="51">
        <f>J39-F39</f>
        <v/>
      </c>
      <c r="L39" s="50">
        <f>K39*24*60</f>
        <v/>
      </c>
      <c r="M39" s="73">
        <f>L39/60</f>
        <v/>
      </c>
    </row>
    <row r="40" ht="14.45" customFormat="1" customHeight="1" s="60">
      <c r="A40" s="49" t="n">
        <v>38</v>
      </c>
      <c r="B40" s="21" t="n"/>
      <c r="C40" s="23" t="n"/>
      <c r="D40" s="21" t="n"/>
      <c r="E40" s="21" t="n"/>
      <c r="F40" s="23" t="n"/>
      <c r="G40" s="23" t="n"/>
      <c r="H40" s="23" t="n"/>
      <c r="I40" s="21" t="n"/>
      <c r="J40" s="22" t="n"/>
      <c r="K40" s="51">
        <f>J40-F40</f>
        <v/>
      </c>
      <c r="L40" s="50">
        <f>K40*24*60</f>
        <v/>
      </c>
      <c r="M40" s="73">
        <f>L40/60</f>
        <v/>
      </c>
    </row>
    <row r="41" ht="14.45" customFormat="1" customHeight="1" s="60">
      <c r="A41" s="49" t="n">
        <v>39</v>
      </c>
      <c r="B41" s="21" t="n"/>
      <c r="C41" s="23" t="n"/>
      <c r="D41" s="21" t="n"/>
      <c r="E41" s="21" t="n"/>
      <c r="F41" s="23" t="n"/>
      <c r="G41" s="23" t="n"/>
      <c r="H41" s="23" t="n"/>
      <c r="I41" s="21" t="n"/>
      <c r="J41" s="22" t="n"/>
      <c r="K41" s="51">
        <f>J41-F41</f>
        <v/>
      </c>
      <c r="L41" s="50">
        <f>K41*24*60</f>
        <v/>
      </c>
      <c r="M41" s="73">
        <f>L41/60</f>
        <v/>
      </c>
    </row>
    <row r="42" ht="14.45" customFormat="1" customHeight="1" s="60">
      <c r="A42" s="49" t="n">
        <v>40</v>
      </c>
      <c r="B42" s="21" t="n"/>
      <c r="C42" s="23" t="n"/>
      <c r="D42" s="21" t="n"/>
      <c r="E42" s="21" t="n"/>
      <c r="F42" s="23" t="n"/>
      <c r="G42" s="23" t="n"/>
      <c r="H42" s="23" t="n"/>
      <c r="I42" s="21" t="n"/>
      <c r="J42" s="22" t="n"/>
      <c r="K42" s="51">
        <f>J42-F42</f>
        <v/>
      </c>
      <c r="L42" s="50">
        <f>K42*24*60</f>
        <v/>
      </c>
      <c r="M42" s="73">
        <f>L42/60</f>
        <v/>
      </c>
    </row>
    <row r="43" ht="14.45" customFormat="1" customHeight="1" s="60">
      <c r="A43" s="49" t="n">
        <v>41</v>
      </c>
      <c r="B43" s="21" t="n"/>
      <c r="C43" s="23" t="n"/>
      <c r="D43" s="21" t="n"/>
      <c r="E43" s="21" t="n"/>
      <c r="F43" s="21" t="n"/>
      <c r="G43" s="23" t="n"/>
      <c r="H43" s="23" t="n"/>
      <c r="I43" s="21" t="n"/>
      <c r="J43" s="22" t="n"/>
      <c r="K43" s="51">
        <f>J43-F43</f>
        <v/>
      </c>
      <c r="L43" s="50">
        <f>K43*24*60</f>
        <v/>
      </c>
      <c r="M43" s="73">
        <f>L43/60</f>
        <v/>
      </c>
    </row>
    <row r="44" ht="14.45" customFormat="1" customHeight="1" s="60">
      <c r="A44" s="49" t="n">
        <v>42</v>
      </c>
      <c r="B44" s="21" t="n"/>
      <c r="C44" s="23" t="n"/>
      <c r="D44" s="21" t="n"/>
      <c r="E44" s="21" t="n"/>
      <c r="F44" s="21" t="n"/>
      <c r="G44" s="23" t="n"/>
      <c r="H44" s="23" t="n"/>
      <c r="I44" s="21" t="n"/>
      <c r="J44" s="22" t="n"/>
      <c r="K44" s="51">
        <f>J44-F44</f>
        <v/>
      </c>
      <c r="L44" s="50">
        <f>K44*24*60</f>
        <v/>
      </c>
      <c r="M44" s="73">
        <f>L44/60</f>
        <v/>
      </c>
    </row>
    <row r="45" ht="14.45" customFormat="1" customHeight="1" s="60">
      <c r="A45" s="49" t="n">
        <v>43</v>
      </c>
      <c r="B45" s="21" t="n"/>
      <c r="C45" s="23" t="n"/>
      <c r="D45" s="21" t="n"/>
      <c r="E45" s="21" t="n"/>
      <c r="F45" s="21" t="n"/>
      <c r="G45" s="23" t="n"/>
      <c r="H45" s="23" t="n"/>
      <c r="I45" s="21" t="n"/>
      <c r="J45" s="22" t="n"/>
      <c r="K45" s="51">
        <f>J45-F45</f>
        <v/>
      </c>
      <c r="L45" s="50">
        <f>K45*24*60</f>
        <v/>
      </c>
      <c r="M45" s="73">
        <f>L45/60</f>
        <v/>
      </c>
    </row>
    <row r="46" ht="14.45" customFormat="1" customHeight="1" s="60">
      <c r="A46" s="49" t="n">
        <v>44</v>
      </c>
      <c r="B46" s="21" t="n"/>
      <c r="C46" s="23" t="n"/>
      <c r="D46" s="21" t="n"/>
      <c r="E46" s="21" t="n"/>
      <c r="F46" s="21" t="n"/>
      <c r="G46" s="23" t="n"/>
      <c r="H46" s="23" t="n"/>
      <c r="I46" s="21" t="n"/>
      <c r="J46" s="22" t="n"/>
      <c r="K46" s="51">
        <f>J46-F46</f>
        <v/>
      </c>
      <c r="L46" s="50">
        <f>K46*24*60</f>
        <v/>
      </c>
      <c r="M46" s="73">
        <f>L46/60</f>
        <v/>
      </c>
    </row>
    <row r="47" ht="14.45" customFormat="1" customHeight="1" s="60">
      <c r="A47" s="49" t="n">
        <v>45</v>
      </c>
      <c r="B47" s="21" t="n"/>
      <c r="C47" s="23" t="n"/>
      <c r="D47" s="21" t="n"/>
      <c r="E47" s="21" t="n"/>
      <c r="F47" s="21" t="n"/>
      <c r="G47" s="23" t="n"/>
      <c r="H47" s="23" t="n"/>
      <c r="I47" s="21" t="n"/>
      <c r="J47" s="22" t="n"/>
      <c r="K47" s="51">
        <f>J47-F47</f>
        <v/>
      </c>
      <c r="L47" s="50">
        <f>K47*24*60</f>
        <v/>
      </c>
      <c r="M47" s="73">
        <f>L47/60</f>
        <v/>
      </c>
    </row>
    <row r="48" ht="14.45" customFormat="1" customHeight="1" s="60">
      <c r="A48" s="49" t="n">
        <v>46</v>
      </c>
      <c r="B48" s="17" t="n"/>
      <c r="C48" s="71" t="n"/>
      <c r="D48" s="17" t="n"/>
      <c r="E48" s="17" t="n"/>
      <c r="F48" s="17" t="n"/>
      <c r="G48" s="71" t="n"/>
      <c r="H48" s="71" t="n"/>
      <c r="I48" s="17" t="n"/>
      <c r="J48" s="17" t="n"/>
      <c r="K48" s="51">
        <f>J48-F48</f>
        <v/>
      </c>
      <c r="L48" s="50">
        <f>K48*24*60</f>
        <v/>
      </c>
      <c r="M48" s="73">
        <f>L48/60</f>
        <v/>
      </c>
    </row>
    <row r="49" ht="14.45" customFormat="1" customHeight="1" s="60">
      <c r="A49" s="49" t="n">
        <v>47</v>
      </c>
      <c r="B49" s="17" t="n"/>
      <c r="C49" s="71" t="n"/>
      <c r="D49" s="17" t="n"/>
      <c r="E49" s="17" t="n"/>
      <c r="F49" s="17" t="n"/>
      <c r="G49" s="71" t="n"/>
      <c r="H49" s="71" t="n"/>
      <c r="I49" s="17" t="n"/>
      <c r="J49" s="17" t="n"/>
      <c r="K49" s="51">
        <f>J49-F49</f>
        <v/>
      </c>
      <c r="L49" s="50">
        <f>K49*24*60</f>
        <v/>
      </c>
      <c r="M49" s="73">
        <f>L49/60</f>
        <v/>
      </c>
    </row>
    <row r="50" ht="14.45" customFormat="1" customHeight="1" s="60">
      <c r="A50" s="49" t="n">
        <v>48</v>
      </c>
      <c r="B50" s="17" t="n"/>
      <c r="C50" s="71" t="n"/>
      <c r="D50" s="17" t="n"/>
      <c r="E50" s="17" t="n"/>
      <c r="F50" s="17" t="n"/>
      <c r="G50" s="71" t="n"/>
      <c r="H50" s="71" t="n"/>
      <c r="I50" s="17" t="n"/>
      <c r="J50" s="17" t="n"/>
      <c r="K50" s="51">
        <f>J50-F50</f>
        <v/>
      </c>
      <c r="L50" s="50">
        <f>K50*24*60</f>
        <v/>
      </c>
      <c r="M50" s="73">
        <f>L50/60</f>
        <v/>
      </c>
    </row>
    <row r="51" ht="14.45" customFormat="1" customHeight="1" s="60">
      <c r="A51" s="49" t="n">
        <v>49</v>
      </c>
      <c r="B51" s="17" t="n"/>
      <c r="C51" s="71" t="n"/>
      <c r="D51" s="17" t="n"/>
      <c r="E51" s="17" t="n"/>
      <c r="F51" s="17" t="n"/>
      <c r="G51" s="71" t="n"/>
      <c r="H51" s="71" t="n"/>
      <c r="I51" s="17" t="n"/>
      <c r="J51" s="17" t="n"/>
      <c r="K51" s="51">
        <f>J51-F51</f>
        <v/>
      </c>
      <c r="L51" s="50">
        <f>K51*24*60</f>
        <v/>
      </c>
      <c r="M51" s="73">
        <f>L51/60</f>
        <v/>
      </c>
    </row>
    <row r="52" ht="14.45" customFormat="1" customHeight="1" s="60">
      <c r="A52" s="49" t="n">
        <v>50</v>
      </c>
      <c r="B52" s="17" t="n"/>
      <c r="C52" s="71" t="n"/>
      <c r="D52" s="17" t="n"/>
      <c r="E52" s="17" t="n"/>
      <c r="F52" s="17" t="n"/>
      <c r="G52" s="71" t="n"/>
      <c r="H52" s="71" t="n"/>
      <c r="I52" s="17" t="n"/>
      <c r="J52" s="17" t="n"/>
      <c r="K52" s="51">
        <f>J52-F52</f>
        <v/>
      </c>
      <c r="L52" s="50">
        <f>K52*24*60</f>
        <v/>
      </c>
      <c r="M52" s="73">
        <f>L52/60</f>
        <v/>
      </c>
    </row>
    <row r="53" ht="14.45" customFormat="1" customHeight="1" s="60">
      <c r="A53" s="49" t="n">
        <v>51</v>
      </c>
      <c r="B53" s="17" t="n"/>
      <c r="C53" s="71" t="n"/>
      <c r="D53" s="17" t="n"/>
      <c r="E53" s="17" t="n"/>
      <c r="F53" s="17" t="n"/>
      <c r="G53" s="71" t="n"/>
      <c r="H53" s="71" t="n"/>
      <c r="I53" s="17" t="n"/>
      <c r="J53" s="17" t="n"/>
      <c r="K53" s="51">
        <f>J53-F53</f>
        <v/>
      </c>
      <c r="L53" s="50">
        <f>K53*24*60</f>
        <v/>
      </c>
      <c r="M53" s="73">
        <f>L53/60</f>
        <v/>
      </c>
    </row>
    <row r="54" ht="14.45" customFormat="1" customHeight="1" s="60">
      <c r="A54" s="49" t="n">
        <v>52</v>
      </c>
      <c r="B54" s="17" t="n"/>
      <c r="C54" s="71" t="n"/>
      <c r="D54" s="17" t="n"/>
      <c r="E54" s="17" t="n"/>
      <c r="F54" s="17" t="n"/>
      <c r="G54" s="71" t="n"/>
      <c r="H54" s="71" t="n"/>
      <c r="I54" s="17" t="n"/>
      <c r="J54" s="17" t="n"/>
      <c r="K54" s="51">
        <f>J54-F54</f>
        <v/>
      </c>
      <c r="L54" s="50">
        <f>K54*24*60</f>
        <v/>
      </c>
      <c r="M54" s="73">
        <f>L54/60</f>
        <v/>
      </c>
    </row>
    <row r="55" ht="14.45" customFormat="1" customHeight="1" s="60">
      <c r="A55" s="49" t="n">
        <v>53</v>
      </c>
      <c r="B55" s="17" t="n"/>
      <c r="C55" s="71" t="n"/>
      <c r="D55" s="17" t="n"/>
      <c r="E55" s="17" t="n"/>
      <c r="F55" s="17" t="n"/>
      <c r="G55" s="71" t="n"/>
      <c r="H55" s="71" t="n"/>
      <c r="I55" s="17" t="n"/>
      <c r="J55" s="17" t="n"/>
      <c r="K55" s="51">
        <f>J55-F55</f>
        <v/>
      </c>
      <c r="L55" s="50">
        <f>K55*24*60</f>
        <v/>
      </c>
      <c r="M55" s="73">
        <f>L55/60</f>
        <v/>
      </c>
    </row>
    <row r="56" ht="14.45" customFormat="1" customHeight="1" s="60">
      <c r="A56" s="49" t="n">
        <v>54</v>
      </c>
      <c r="B56" s="17" t="n"/>
      <c r="C56" s="71" t="n"/>
      <c r="D56" s="17" t="n"/>
      <c r="E56" s="17" t="n"/>
      <c r="F56" s="17" t="n"/>
      <c r="G56" s="71" t="n"/>
      <c r="H56" s="71" t="n"/>
      <c r="I56" s="17" t="n"/>
      <c r="J56" s="17" t="n"/>
      <c r="K56" s="51">
        <f>J56-F56</f>
        <v/>
      </c>
      <c r="L56" s="50">
        <f>K56*24*60</f>
        <v/>
      </c>
      <c r="M56" s="73">
        <f>L56/60</f>
        <v/>
      </c>
    </row>
    <row r="57" ht="14.45" customFormat="1" customHeight="1" s="60">
      <c r="A57" s="49" t="n">
        <v>55</v>
      </c>
      <c r="B57" s="17" t="n"/>
      <c r="C57" s="71" t="n"/>
      <c r="D57" s="17" t="n"/>
      <c r="E57" s="17" t="n"/>
      <c r="F57" s="17" t="n"/>
      <c r="G57" s="71" t="n"/>
      <c r="H57" s="71" t="n"/>
      <c r="I57" s="17" t="n"/>
      <c r="J57" s="17" t="n"/>
      <c r="K57" s="51">
        <f>J57-F57</f>
        <v/>
      </c>
      <c r="L57" s="50">
        <f>K57*24*60</f>
        <v/>
      </c>
      <c r="M57" s="73">
        <f>L57/60</f>
        <v/>
      </c>
    </row>
    <row r="58" ht="14.45" customFormat="1" customHeight="1" s="60">
      <c r="A58" s="49" t="n">
        <v>56</v>
      </c>
      <c r="B58" s="17" t="n"/>
      <c r="C58" s="71" t="n"/>
      <c r="D58" s="17" t="n"/>
      <c r="E58" s="17" t="n"/>
      <c r="F58" s="17" t="n"/>
      <c r="G58" s="71" t="n"/>
      <c r="H58" s="71" t="n"/>
      <c r="I58" s="17" t="n"/>
      <c r="J58" s="17" t="n"/>
      <c r="K58" s="51">
        <f>J58-F58</f>
        <v/>
      </c>
      <c r="L58" s="50">
        <f>K58*24*60</f>
        <v/>
      </c>
      <c r="M58" s="73">
        <f>L58/60</f>
        <v/>
      </c>
    </row>
    <row r="59" ht="14.45" customFormat="1" customHeight="1" s="60">
      <c r="A59" s="49" t="n">
        <v>57</v>
      </c>
      <c r="B59" s="17" t="n"/>
      <c r="C59" s="71" t="n"/>
      <c r="D59" s="17" t="n"/>
      <c r="E59" s="17" t="n"/>
      <c r="F59" s="17" t="n"/>
      <c r="G59" s="71" t="n"/>
      <c r="H59" s="71" t="n"/>
      <c r="I59" s="17" t="n"/>
      <c r="J59" s="17" t="n"/>
      <c r="K59" s="51">
        <f>J59-F59</f>
        <v/>
      </c>
      <c r="L59" s="50">
        <f>K59*24*60</f>
        <v/>
      </c>
      <c r="M59" s="73">
        <f>L59/60</f>
        <v/>
      </c>
    </row>
    <row r="60" ht="14.45" customFormat="1" customHeight="1" s="60">
      <c r="A60" s="49" t="n">
        <v>58</v>
      </c>
      <c r="B60" s="17" t="n"/>
      <c r="C60" s="71" t="n"/>
      <c r="D60" s="17" t="n"/>
      <c r="E60" s="17" t="n"/>
      <c r="F60" s="17" t="n"/>
      <c r="G60" s="71" t="n"/>
      <c r="H60" s="71" t="n"/>
      <c r="I60" s="17" t="n"/>
      <c r="J60" s="17" t="n"/>
      <c r="K60" s="51">
        <f>J60-F60</f>
        <v/>
      </c>
      <c r="L60" s="50">
        <f>K60*24*60</f>
        <v/>
      </c>
      <c r="M60" s="73">
        <f>L60/60</f>
        <v/>
      </c>
    </row>
    <row r="61" ht="14.45" customFormat="1" customHeight="1" s="60">
      <c r="A61" s="49" t="n">
        <v>59</v>
      </c>
      <c r="B61" s="17" t="n"/>
      <c r="C61" s="71" t="n"/>
      <c r="D61" s="17" t="n"/>
      <c r="E61" s="17" t="n"/>
      <c r="F61" s="17" t="n"/>
      <c r="G61" s="71" t="n"/>
      <c r="H61" s="71" t="n"/>
      <c r="I61" s="17" t="n"/>
      <c r="J61" s="17" t="n"/>
      <c r="K61" s="51">
        <f>J61-F61</f>
        <v/>
      </c>
      <c r="L61" s="50">
        <f>K61*24*60</f>
        <v/>
      </c>
      <c r="M61" s="73">
        <f>L61/60</f>
        <v/>
      </c>
    </row>
    <row r="62" ht="14.45" customFormat="1" customHeight="1" s="60">
      <c r="A62" s="49" t="n">
        <v>60</v>
      </c>
      <c r="B62" s="17" t="n"/>
      <c r="C62" s="71" t="n"/>
      <c r="D62" s="17" t="n"/>
      <c r="E62" s="17" t="n"/>
      <c r="F62" s="17" t="n"/>
      <c r="G62" s="71" t="n"/>
      <c r="H62" s="71" t="n"/>
      <c r="I62" s="17" t="n"/>
      <c r="J62" s="17" t="n"/>
      <c r="K62" s="51">
        <f>J62-F62</f>
        <v/>
      </c>
      <c r="L62" s="50">
        <f>K62*24*60</f>
        <v/>
      </c>
      <c r="M62" s="73">
        <f>L62/60</f>
        <v/>
      </c>
    </row>
    <row r="63" ht="14.45" customFormat="1" customHeight="1" s="60">
      <c r="A63" s="49" t="n">
        <v>61</v>
      </c>
      <c r="B63" s="17" t="n"/>
      <c r="C63" s="71" t="n"/>
      <c r="D63" s="17" t="n"/>
      <c r="E63" s="17" t="n"/>
      <c r="F63" s="17" t="n"/>
      <c r="G63" s="71" t="n"/>
      <c r="H63" s="71" t="n"/>
      <c r="I63" s="17" t="n"/>
      <c r="J63" s="17" t="n"/>
      <c r="K63" s="51">
        <f>J63-F63</f>
        <v/>
      </c>
      <c r="L63" s="50">
        <f>K63*24*60</f>
        <v/>
      </c>
      <c r="M63" s="73">
        <f>L63/60</f>
        <v/>
      </c>
    </row>
    <row r="64" ht="14.45" customFormat="1" customHeight="1" s="60">
      <c r="A64" s="49" t="n">
        <v>62</v>
      </c>
      <c r="B64" s="17" t="n"/>
      <c r="C64" s="71" t="n"/>
      <c r="D64" s="17" t="n"/>
      <c r="E64" s="17" t="n"/>
      <c r="F64" s="17" t="n"/>
      <c r="G64" s="71" t="n"/>
      <c r="H64" s="71" t="n"/>
      <c r="I64" s="17" t="n"/>
      <c r="J64" s="17" t="n"/>
      <c r="K64" s="51">
        <f>J64-F64</f>
        <v/>
      </c>
      <c r="L64" s="50">
        <f>K64*24*60</f>
        <v/>
      </c>
      <c r="M64" s="73">
        <f>L64/60</f>
        <v/>
      </c>
    </row>
    <row r="65" ht="14.45" customFormat="1" customHeight="1" s="60">
      <c r="A65" s="49" t="n">
        <v>63</v>
      </c>
      <c r="B65" s="17" t="n"/>
      <c r="C65" s="71" t="n"/>
      <c r="D65" s="17" t="n"/>
      <c r="E65" s="17" t="n"/>
      <c r="F65" s="17" t="n"/>
      <c r="G65" s="71" t="n"/>
      <c r="H65" s="71" t="n"/>
      <c r="I65" s="17" t="n"/>
      <c r="J65" s="17" t="n"/>
      <c r="K65" s="51">
        <f>J65-F65</f>
        <v/>
      </c>
      <c r="L65" s="50">
        <f>K65*24*60</f>
        <v/>
      </c>
      <c r="M65" s="73">
        <f>L65/60</f>
        <v/>
      </c>
    </row>
    <row r="66" ht="14.45" customFormat="1" customHeight="1" s="60">
      <c r="A66" s="49" t="n">
        <v>64</v>
      </c>
      <c r="B66" s="17" t="n"/>
      <c r="C66" s="71" t="n"/>
      <c r="D66" s="17" t="n"/>
      <c r="E66" s="17" t="n"/>
      <c r="F66" s="17" t="n"/>
      <c r="G66" s="71" t="n"/>
      <c r="H66" s="71" t="n"/>
      <c r="I66" s="17" t="n"/>
      <c r="J66" s="17" t="n"/>
      <c r="K66" s="51">
        <f>J66-F66</f>
        <v/>
      </c>
      <c r="L66" s="50">
        <f>K66*24*60</f>
        <v/>
      </c>
      <c r="M66" s="73">
        <f>L66/60</f>
        <v/>
      </c>
    </row>
    <row r="67" ht="14.45" customFormat="1" customHeight="1" s="60">
      <c r="A67" s="49" t="n">
        <v>65</v>
      </c>
      <c r="B67" s="17" t="n"/>
      <c r="C67" s="71" t="n"/>
      <c r="D67" s="17" t="n"/>
      <c r="E67" s="17" t="n"/>
      <c r="F67" s="17" t="n"/>
      <c r="G67" s="71" t="n"/>
      <c r="H67" s="71" t="n"/>
      <c r="I67" s="17" t="n"/>
      <c r="J67" s="17" t="n"/>
      <c r="K67" s="51">
        <f>J67-F67</f>
        <v/>
      </c>
      <c r="L67" s="50">
        <f>K67*24*60</f>
        <v/>
      </c>
      <c r="M67" s="73">
        <f>L67/60</f>
        <v/>
      </c>
    </row>
    <row r="68" ht="14.45" customFormat="1" customHeight="1" s="60">
      <c r="A68" s="49" t="n">
        <v>66</v>
      </c>
      <c r="B68" s="17" t="n"/>
      <c r="C68" s="71" t="n"/>
      <c r="D68" s="17" t="n"/>
      <c r="E68" s="17" t="n"/>
      <c r="F68" s="17" t="n"/>
      <c r="G68" s="71" t="n"/>
      <c r="H68" s="71" t="n"/>
      <c r="I68" s="17" t="n"/>
      <c r="J68" s="17" t="n"/>
      <c r="K68" s="51">
        <f>J68-F68</f>
        <v/>
      </c>
      <c r="L68" s="50">
        <f>K68*24*60</f>
        <v/>
      </c>
      <c r="M68" s="73">
        <f>L68/60</f>
        <v/>
      </c>
    </row>
    <row r="69" ht="14.45" customFormat="1" customHeight="1" s="60">
      <c r="A69" s="49" t="n">
        <v>67</v>
      </c>
      <c r="B69" s="17" t="n"/>
      <c r="C69" s="71" t="n"/>
      <c r="D69" s="17" t="n"/>
      <c r="E69" s="17" t="n"/>
      <c r="F69" s="17" t="n"/>
      <c r="G69" s="71" t="n"/>
      <c r="H69" s="71" t="n"/>
      <c r="I69" s="17" t="n"/>
      <c r="J69" s="17" t="n"/>
      <c r="K69" s="51">
        <f>J69-F69</f>
        <v/>
      </c>
      <c r="L69" s="50">
        <f>K69*24*60</f>
        <v/>
      </c>
      <c r="M69" s="73">
        <f>L69/60</f>
        <v/>
      </c>
    </row>
    <row r="70" ht="14.45" customFormat="1" customHeight="1" s="60">
      <c r="A70" s="49" t="n">
        <v>68</v>
      </c>
      <c r="B70" s="17" t="n"/>
      <c r="C70" s="71" t="n"/>
      <c r="D70" s="17" t="n"/>
      <c r="E70" s="17" t="n"/>
      <c r="F70" s="17" t="n"/>
      <c r="G70" s="71" t="n"/>
      <c r="H70" s="71" t="n"/>
      <c r="I70" s="17" t="n"/>
      <c r="J70" s="17" t="n"/>
      <c r="K70" s="51">
        <f>J70-F70</f>
        <v/>
      </c>
      <c r="L70" s="50">
        <f>K70*24*60</f>
        <v/>
      </c>
      <c r="M70" s="73">
        <f>L70/60</f>
        <v/>
      </c>
    </row>
    <row r="71" ht="14.45" customFormat="1" customHeight="1" s="60">
      <c r="A71" s="49" t="n">
        <v>69</v>
      </c>
      <c r="B71" s="17" t="n"/>
      <c r="C71" s="71" t="n"/>
      <c r="D71" s="17" t="n"/>
      <c r="E71" s="17" t="n"/>
      <c r="F71" s="17" t="n"/>
      <c r="G71" s="71" t="n"/>
      <c r="H71" s="71" t="n"/>
      <c r="I71" s="17" t="n"/>
      <c r="J71" s="17" t="n"/>
      <c r="K71" s="51">
        <f>J71-F71</f>
        <v/>
      </c>
      <c r="L71" s="50">
        <f>K71*24*60</f>
        <v/>
      </c>
      <c r="M71" s="73">
        <f>L71/60</f>
        <v/>
      </c>
    </row>
    <row r="72" ht="14.45" customFormat="1" customHeight="1" s="60">
      <c r="A72" s="49" t="n">
        <v>70</v>
      </c>
      <c r="B72" s="17" t="n"/>
      <c r="C72" s="71" t="n"/>
      <c r="D72" s="17" t="n"/>
      <c r="E72" s="17" t="n"/>
      <c r="F72" s="17" t="n"/>
      <c r="G72" s="71" t="n"/>
      <c r="H72" s="71" t="n"/>
      <c r="I72" s="17" t="n"/>
      <c r="J72" s="17" t="n"/>
      <c r="K72" s="51">
        <f>J72-F72</f>
        <v/>
      </c>
      <c r="L72" s="50">
        <f>K72*24*60</f>
        <v/>
      </c>
      <c r="M72" s="73">
        <f>L72/60</f>
        <v/>
      </c>
    </row>
    <row r="73" ht="14.45" customFormat="1" customHeight="1" s="60">
      <c r="A73" s="49" t="n">
        <v>71</v>
      </c>
      <c r="B73" s="17" t="n"/>
      <c r="C73" s="71" t="n"/>
      <c r="D73" s="17" t="n"/>
      <c r="E73" s="17" t="n"/>
      <c r="F73" s="17" t="n"/>
      <c r="G73" s="71" t="n"/>
      <c r="H73" s="71" t="n"/>
      <c r="I73" s="17" t="n"/>
      <c r="J73" s="17" t="n"/>
      <c r="K73" s="51">
        <f>J73-F73</f>
        <v/>
      </c>
      <c r="L73" s="50">
        <f>K73*24*60</f>
        <v/>
      </c>
      <c r="M73" s="73">
        <f>L73/60</f>
        <v/>
      </c>
    </row>
    <row r="74" ht="14.45" customFormat="1" customHeight="1" s="60">
      <c r="A74" s="49" t="n">
        <v>72</v>
      </c>
      <c r="B74" s="17" t="n"/>
      <c r="C74" s="71" t="n"/>
      <c r="D74" s="17" t="n"/>
      <c r="E74" s="17" t="n"/>
      <c r="F74" s="17" t="n"/>
      <c r="G74" s="71" t="n"/>
      <c r="H74" s="71" t="n"/>
      <c r="I74" s="17" t="n"/>
      <c r="J74" s="17" t="n"/>
      <c r="K74" s="51">
        <f>J74-F74</f>
        <v/>
      </c>
      <c r="L74" s="50">
        <f>K74*24*60</f>
        <v/>
      </c>
      <c r="M74" s="73">
        <f>L74/60</f>
        <v/>
      </c>
    </row>
    <row r="75" ht="14.45" customFormat="1" customHeight="1" s="60">
      <c r="A75" s="49" t="n">
        <v>73</v>
      </c>
      <c r="B75" s="17" t="n"/>
      <c r="C75" s="71" t="n"/>
      <c r="D75" s="17" t="n"/>
      <c r="E75" s="17" t="n"/>
      <c r="F75" s="17" t="n"/>
      <c r="G75" s="71" t="n"/>
      <c r="H75" s="71" t="n"/>
      <c r="I75" s="17" t="n"/>
      <c r="J75" s="17" t="n"/>
      <c r="K75" s="51">
        <f>J75-F75</f>
        <v/>
      </c>
      <c r="L75" s="50">
        <f>K75*24*60</f>
        <v/>
      </c>
      <c r="M75" s="73">
        <f>L75/60</f>
        <v/>
      </c>
    </row>
    <row r="76" ht="14.45" customFormat="1" customHeight="1" s="60">
      <c r="A76" s="49" t="n">
        <v>74</v>
      </c>
      <c r="B76" s="17" t="n"/>
      <c r="C76" s="71" t="n"/>
      <c r="D76" s="17" t="n"/>
      <c r="E76" s="17" t="n"/>
      <c r="F76" s="17" t="n"/>
      <c r="G76" s="71" t="n"/>
      <c r="H76" s="71" t="n"/>
      <c r="I76" s="17" t="n"/>
      <c r="J76" s="17" t="n"/>
      <c r="K76" s="51">
        <f>J76-F76</f>
        <v/>
      </c>
      <c r="L76" s="50">
        <f>K76*24*60</f>
        <v/>
      </c>
      <c r="M76" s="73">
        <f>L76/60</f>
        <v/>
      </c>
    </row>
    <row r="77" ht="14.45" customFormat="1" customHeight="1" s="60">
      <c r="A77" s="49" t="n">
        <v>75</v>
      </c>
      <c r="B77" s="17" t="n"/>
      <c r="C77" s="71" t="n"/>
      <c r="D77" s="17" t="n"/>
      <c r="E77" s="17" t="n"/>
      <c r="F77" s="17" t="n"/>
      <c r="G77" s="71" t="n"/>
      <c r="H77" s="71" t="n"/>
      <c r="I77" s="17" t="n"/>
      <c r="J77" s="17" t="n"/>
      <c r="K77" s="51">
        <f>J77-F77</f>
        <v/>
      </c>
      <c r="L77" s="50">
        <f>K77*24*60</f>
        <v/>
      </c>
      <c r="M77" s="73">
        <f>L77/60</f>
        <v/>
      </c>
    </row>
    <row r="78" ht="14.45" customFormat="1" customHeight="1" s="60">
      <c r="A78" s="49" t="n">
        <v>76</v>
      </c>
      <c r="B78" s="17" t="n"/>
      <c r="C78" s="71" t="n"/>
      <c r="D78" s="17" t="n"/>
      <c r="E78" s="17" t="n"/>
      <c r="F78" s="17" t="n"/>
      <c r="G78" s="71" t="n"/>
      <c r="H78" s="71" t="n"/>
      <c r="I78" s="17" t="n"/>
      <c r="J78" s="17" t="n"/>
      <c r="K78" s="51">
        <f>J78-F78</f>
        <v/>
      </c>
      <c r="L78" s="50">
        <f>K78*24*60</f>
        <v/>
      </c>
      <c r="M78" s="73">
        <f>L78/60</f>
        <v/>
      </c>
    </row>
    <row r="79" ht="14.45" customFormat="1" customHeight="1" s="60">
      <c r="A79" s="49" t="n">
        <v>77</v>
      </c>
      <c r="B79" s="17" t="n"/>
      <c r="C79" s="71" t="n"/>
      <c r="D79" s="17" t="n"/>
      <c r="E79" s="17" t="n"/>
      <c r="F79" s="17" t="n"/>
      <c r="G79" s="71" t="n"/>
      <c r="H79" s="71" t="n"/>
      <c r="I79" s="17" t="n"/>
      <c r="J79" s="17" t="n"/>
      <c r="K79" s="51">
        <f>J79-F79</f>
        <v/>
      </c>
      <c r="L79" s="50">
        <f>K79*24*60</f>
        <v/>
      </c>
      <c r="M79" s="73">
        <f>L79/60</f>
        <v/>
      </c>
    </row>
    <row r="80" ht="14.45" customFormat="1" customHeight="1" s="60">
      <c r="A80" s="49" t="n">
        <v>78</v>
      </c>
      <c r="B80" s="17" t="n"/>
      <c r="C80" s="71" t="n"/>
      <c r="D80" s="17" t="n"/>
      <c r="E80" s="17" t="n"/>
      <c r="F80" s="17" t="n"/>
      <c r="G80" s="71" t="n"/>
      <c r="H80" s="71" t="n"/>
      <c r="I80" s="17" t="n"/>
      <c r="J80" s="17" t="n"/>
      <c r="K80" s="51">
        <f>J80-F80</f>
        <v/>
      </c>
      <c r="L80" s="50">
        <f>K80*24*60</f>
        <v/>
      </c>
      <c r="M80" s="73">
        <f>L80/60</f>
        <v/>
      </c>
    </row>
    <row r="81" ht="14.45" customFormat="1" customHeight="1" s="60">
      <c r="A81" s="49" t="n">
        <v>79</v>
      </c>
      <c r="B81" s="17" t="n"/>
      <c r="C81" s="71" t="n"/>
      <c r="D81" s="17" t="n"/>
      <c r="E81" s="17" t="n"/>
      <c r="F81" s="17" t="n"/>
      <c r="G81" s="71" t="n"/>
      <c r="H81" s="71" t="n"/>
      <c r="I81" s="17" t="n"/>
      <c r="J81" s="17" t="n"/>
      <c r="K81" s="51">
        <f>J81-F81</f>
        <v/>
      </c>
      <c r="L81" s="50">
        <f>K81*24*60</f>
        <v/>
      </c>
      <c r="M81" s="73">
        <f>L81/60</f>
        <v/>
      </c>
    </row>
    <row r="82" ht="14.45" customFormat="1" customHeight="1" s="60">
      <c r="A82" s="49" t="n">
        <v>80</v>
      </c>
      <c r="B82" s="17" t="n"/>
      <c r="C82" s="71" t="n"/>
      <c r="D82" s="17" t="n"/>
      <c r="E82" s="17" t="n"/>
      <c r="F82" s="17" t="n"/>
      <c r="G82" s="71" t="n"/>
      <c r="H82" s="71" t="n"/>
      <c r="I82" s="17" t="n"/>
      <c r="J82" s="17" t="n"/>
      <c r="K82" s="51">
        <f>J82-F82</f>
        <v/>
      </c>
      <c r="L82" s="50">
        <f>K82*24*60</f>
        <v/>
      </c>
      <c r="M82" s="73">
        <f>L82/60</f>
        <v/>
      </c>
    </row>
    <row r="83" ht="14.45" customFormat="1" customHeight="1" s="60">
      <c r="A83" s="49" t="n">
        <v>81</v>
      </c>
      <c r="B83" s="17" t="n"/>
      <c r="C83" s="71" t="n"/>
      <c r="D83" s="17" t="n"/>
      <c r="E83" s="17" t="n"/>
      <c r="F83" s="17" t="n"/>
      <c r="G83" s="71" t="n"/>
      <c r="H83" s="71" t="n"/>
      <c r="I83" s="17" t="n"/>
      <c r="J83" s="17" t="n"/>
      <c r="K83" s="51">
        <f>J83-F83</f>
        <v/>
      </c>
      <c r="L83" s="50">
        <f>K83*24*60</f>
        <v/>
      </c>
      <c r="M83" s="73">
        <f>L83/60</f>
        <v/>
      </c>
    </row>
    <row r="84" ht="14.45" customFormat="1" customHeight="1" s="60">
      <c r="A84" s="49" t="n">
        <v>82</v>
      </c>
      <c r="B84" s="17" t="n"/>
      <c r="C84" s="71" t="n"/>
      <c r="D84" s="17" t="n"/>
      <c r="E84" s="17" t="n"/>
      <c r="F84" s="17" t="n"/>
      <c r="G84" s="71" t="n"/>
      <c r="H84" s="71" t="n"/>
      <c r="I84" s="17" t="n"/>
      <c r="J84" s="17" t="n"/>
      <c r="K84" s="51">
        <f>J84-F84</f>
        <v/>
      </c>
      <c r="L84" s="50">
        <f>K84*24*60</f>
        <v/>
      </c>
      <c r="M84" s="73">
        <f>L84/60</f>
        <v/>
      </c>
    </row>
    <row r="85" ht="14.45" customFormat="1" customHeight="1" s="60">
      <c r="A85" s="49" t="n">
        <v>83</v>
      </c>
      <c r="B85" s="17" t="n"/>
      <c r="C85" s="71" t="n"/>
      <c r="D85" s="17" t="n"/>
      <c r="E85" s="17" t="n"/>
      <c r="F85" s="17" t="n"/>
      <c r="G85" s="71" t="n"/>
      <c r="H85" s="71" t="n"/>
      <c r="I85" s="17" t="n"/>
      <c r="J85" s="17" t="n"/>
      <c r="K85" s="51">
        <f>J85-F85</f>
        <v/>
      </c>
      <c r="L85" s="50">
        <f>K85*24*60</f>
        <v/>
      </c>
      <c r="M85" s="73">
        <f>L85/60</f>
        <v/>
      </c>
    </row>
    <row r="86" ht="14.45" customFormat="1" customHeight="1" s="60">
      <c r="A86" s="49" t="n">
        <v>84</v>
      </c>
      <c r="B86" s="17" t="n"/>
      <c r="C86" s="71" t="n"/>
      <c r="D86" s="17" t="n"/>
      <c r="E86" s="17" t="n"/>
      <c r="F86" s="17" t="n"/>
      <c r="G86" s="71" t="n"/>
      <c r="H86" s="71" t="n"/>
      <c r="I86" s="17" t="n"/>
      <c r="J86" s="17" t="n"/>
      <c r="K86" s="51">
        <f>J86-F86</f>
        <v/>
      </c>
      <c r="L86" s="50">
        <f>K86*24*60</f>
        <v/>
      </c>
      <c r="M86" s="73">
        <f>L86/60</f>
        <v/>
      </c>
    </row>
    <row r="87" ht="14.45" customFormat="1" customHeight="1" s="60">
      <c r="A87" s="49" t="n">
        <v>85</v>
      </c>
      <c r="B87" s="17" t="n"/>
      <c r="C87" s="71" t="n"/>
      <c r="D87" s="17" t="n"/>
      <c r="E87" s="17" t="n"/>
      <c r="F87" s="17" t="n"/>
      <c r="G87" s="71" t="n"/>
      <c r="H87" s="71" t="n"/>
      <c r="I87" s="17" t="n"/>
      <c r="J87" s="17" t="n"/>
      <c r="K87" s="51">
        <f>J87-F87</f>
        <v/>
      </c>
      <c r="L87" s="50">
        <f>K87*24*60</f>
        <v/>
      </c>
      <c r="M87" s="73">
        <f>L87/60</f>
        <v/>
      </c>
    </row>
    <row r="88" ht="14.45" customFormat="1" customHeight="1" s="60">
      <c r="A88" s="49" t="n">
        <v>86</v>
      </c>
      <c r="B88" s="17" t="n"/>
      <c r="C88" s="71" t="n"/>
      <c r="D88" s="17" t="n"/>
      <c r="E88" s="17" t="n"/>
      <c r="F88" s="17" t="n"/>
      <c r="G88" s="71" t="n"/>
      <c r="H88" s="71" t="n"/>
      <c r="I88" s="17" t="n"/>
      <c r="J88" s="17" t="n"/>
      <c r="K88" s="51">
        <f>J88-F88</f>
        <v/>
      </c>
      <c r="L88" s="50">
        <f>K88*24*60</f>
        <v/>
      </c>
      <c r="M88" s="73">
        <f>L88/60</f>
        <v/>
      </c>
    </row>
    <row r="89" ht="14.45" customFormat="1" customHeight="1" s="60">
      <c r="A89" s="49" t="n">
        <v>87</v>
      </c>
      <c r="B89" s="17" t="n"/>
      <c r="C89" s="71" t="n"/>
      <c r="D89" s="17" t="n"/>
      <c r="E89" s="17" t="n"/>
      <c r="F89" s="17" t="n"/>
      <c r="G89" s="71" t="n"/>
      <c r="H89" s="71" t="n"/>
      <c r="I89" s="17" t="n"/>
      <c r="J89" s="17" t="n"/>
      <c r="K89" s="51">
        <f>J89-F89</f>
        <v/>
      </c>
      <c r="L89" s="50">
        <f>K89*24*60</f>
        <v/>
      </c>
      <c r="M89" s="73">
        <f>L89/60</f>
        <v/>
      </c>
    </row>
    <row r="90" ht="14.45" customFormat="1" customHeight="1" s="60">
      <c r="A90" s="49" t="n">
        <v>88</v>
      </c>
      <c r="B90" s="17" t="n"/>
      <c r="C90" s="71" t="n"/>
      <c r="D90" s="17" t="n"/>
      <c r="E90" s="17" t="n"/>
      <c r="F90" s="17" t="n"/>
      <c r="G90" s="71" t="n"/>
      <c r="H90" s="71" t="n"/>
      <c r="I90" s="17" t="n"/>
      <c r="J90" s="17" t="n"/>
      <c r="K90" s="51">
        <f>J90-F90</f>
        <v/>
      </c>
      <c r="L90" s="50">
        <f>K90*24*60</f>
        <v/>
      </c>
      <c r="M90" s="73">
        <f>L90/60</f>
        <v/>
      </c>
    </row>
    <row r="91" ht="14.45" customFormat="1" customHeight="1" s="60">
      <c r="A91" s="49" t="n">
        <v>89</v>
      </c>
      <c r="B91" s="17" t="n"/>
      <c r="C91" s="71" t="n"/>
      <c r="D91" s="17" t="n"/>
      <c r="E91" s="17" t="n"/>
      <c r="F91" s="17" t="n"/>
      <c r="G91" s="71" t="n"/>
      <c r="H91" s="71" t="n"/>
      <c r="I91" s="17" t="n"/>
      <c r="J91" s="17" t="n"/>
      <c r="K91" s="51">
        <f>J91-F91</f>
        <v/>
      </c>
      <c r="L91" s="50">
        <f>K91*24*60</f>
        <v/>
      </c>
      <c r="M91" s="73">
        <f>L91/60</f>
        <v/>
      </c>
    </row>
    <row r="92" ht="14.45" customFormat="1" customHeight="1" s="60">
      <c r="A92" s="49" t="n">
        <v>90</v>
      </c>
      <c r="B92" s="17" t="n"/>
      <c r="C92" s="71" t="n"/>
      <c r="D92" s="17" t="n"/>
      <c r="E92" s="17" t="n"/>
      <c r="F92" s="17" t="n"/>
      <c r="G92" s="71" t="n"/>
      <c r="H92" s="71" t="n"/>
      <c r="I92" s="17" t="n"/>
      <c r="J92" s="17" t="n"/>
      <c r="K92" s="51">
        <f>J92-F92</f>
        <v/>
      </c>
      <c r="L92" s="50">
        <f>K92*24*60</f>
        <v/>
      </c>
      <c r="M92" s="73">
        <f>L92/60</f>
        <v/>
      </c>
    </row>
    <row r="93" ht="14.45" customFormat="1" customHeight="1" s="60">
      <c r="A93" s="49" t="n">
        <v>91</v>
      </c>
      <c r="B93" s="17" t="n"/>
      <c r="C93" s="71" t="n"/>
      <c r="D93" s="17" t="n"/>
      <c r="E93" s="17" t="n"/>
      <c r="F93" s="17" t="n"/>
      <c r="G93" s="71" t="n"/>
      <c r="H93" s="71" t="n"/>
      <c r="I93" s="17" t="n"/>
      <c r="J93" s="17" t="n"/>
      <c r="K93" s="51">
        <f>J93-F93</f>
        <v/>
      </c>
      <c r="L93" s="50">
        <f>K93*24*60</f>
        <v/>
      </c>
      <c r="M93" s="73">
        <f>L93/60</f>
        <v/>
      </c>
    </row>
    <row r="94" ht="14.45" customFormat="1" customHeight="1" s="60">
      <c r="A94" s="49" t="n">
        <v>92</v>
      </c>
      <c r="B94" s="17" t="n"/>
      <c r="C94" s="71" t="n"/>
      <c r="D94" s="17" t="n"/>
      <c r="E94" s="17" t="n"/>
      <c r="F94" s="17" t="n"/>
      <c r="G94" s="71" t="n"/>
      <c r="H94" s="71" t="n"/>
      <c r="I94" s="17" t="n"/>
      <c r="J94" s="17" t="n"/>
      <c r="K94" s="51">
        <f>J94-F94</f>
        <v/>
      </c>
      <c r="L94" s="50">
        <f>K94*24*60</f>
        <v/>
      </c>
      <c r="M94" s="73">
        <f>L94/60</f>
        <v/>
      </c>
    </row>
    <row r="95" ht="14.45" customFormat="1" customHeight="1" s="60">
      <c r="A95" s="49" t="n">
        <v>93</v>
      </c>
      <c r="B95" s="17" t="n"/>
      <c r="C95" s="71" t="n"/>
      <c r="D95" s="17" t="n"/>
      <c r="E95" s="17" t="n"/>
      <c r="F95" s="17" t="n"/>
      <c r="G95" s="71" t="n"/>
      <c r="H95" s="71" t="n"/>
      <c r="I95" s="17" t="n"/>
      <c r="J95" s="17" t="n"/>
      <c r="K95" s="51">
        <f>J95-F95</f>
        <v/>
      </c>
      <c r="L95" s="50">
        <f>K95*24*60</f>
        <v/>
      </c>
      <c r="M95" s="73">
        <f>L95/60</f>
        <v/>
      </c>
    </row>
    <row r="96" ht="14.45" customFormat="1" customHeight="1" s="60">
      <c r="A96" s="49" t="n">
        <v>94</v>
      </c>
      <c r="B96" s="17" t="n"/>
      <c r="C96" s="71" t="n"/>
      <c r="D96" s="17" t="n"/>
      <c r="E96" s="17" t="n"/>
      <c r="F96" s="17" t="n"/>
      <c r="G96" s="71" t="n"/>
      <c r="H96" s="71" t="n"/>
      <c r="I96" s="17" t="n"/>
      <c r="J96" s="17" t="n"/>
      <c r="K96" s="51">
        <f>J96-F96</f>
        <v/>
      </c>
      <c r="L96" s="50">
        <f>K96*24*60</f>
        <v/>
      </c>
      <c r="M96" s="73">
        <f>L96/60</f>
        <v/>
      </c>
    </row>
    <row r="97" ht="14.45" customFormat="1" customHeight="1" s="60">
      <c r="A97" s="49" t="n">
        <v>95</v>
      </c>
      <c r="B97" s="17" t="n"/>
      <c r="C97" s="71" t="n"/>
      <c r="D97" s="17" t="n"/>
      <c r="E97" s="17" t="n"/>
      <c r="F97" s="17" t="n"/>
      <c r="G97" s="71" t="n"/>
      <c r="H97" s="71" t="n"/>
      <c r="I97" s="17" t="n"/>
      <c r="J97" s="17" t="n"/>
      <c r="K97" s="51">
        <f>J97-F97</f>
        <v/>
      </c>
      <c r="L97" s="50">
        <f>K97*24*60</f>
        <v/>
      </c>
      <c r="M97" s="73">
        <f>L97/60</f>
        <v/>
      </c>
    </row>
    <row r="98" ht="14.45" customFormat="1" customHeight="1" s="60">
      <c r="A98" s="49" t="n">
        <v>96</v>
      </c>
      <c r="B98" s="17" t="n"/>
      <c r="C98" s="71" t="n"/>
      <c r="D98" s="17" t="n"/>
      <c r="E98" s="17" t="n"/>
      <c r="F98" s="17" t="n"/>
      <c r="G98" s="71" t="n"/>
      <c r="H98" s="71" t="n"/>
      <c r="I98" s="17" t="n"/>
      <c r="J98" s="17" t="n"/>
      <c r="K98" s="51">
        <f>J98-F98</f>
        <v/>
      </c>
      <c r="L98" s="50">
        <f>K98*24*60</f>
        <v/>
      </c>
      <c r="M98" s="73">
        <f>L98/60</f>
        <v/>
      </c>
    </row>
    <row r="99" ht="14.45" customFormat="1" customHeight="1" s="60">
      <c r="A99" s="49" t="n">
        <v>97</v>
      </c>
      <c r="B99" s="17" t="n"/>
      <c r="C99" s="71" t="n"/>
      <c r="D99" s="17" t="n"/>
      <c r="E99" s="17" t="n"/>
      <c r="F99" s="17" t="n"/>
      <c r="G99" s="71" t="n"/>
      <c r="H99" s="71" t="n"/>
      <c r="I99" s="17" t="n"/>
      <c r="J99" s="17" t="n"/>
      <c r="K99" s="51">
        <f>J99-F99</f>
        <v/>
      </c>
      <c r="L99" s="50">
        <f>K99*24*60</f>
        <v/>
      </c>
      <c r="M99" s="73">
        <f>L99/60</f>
        <v/>
      </c>
    </row>
    <row r="100" ht="14.45" customFormat="1" customHeight="1" s="60">
      <c r="A100" s="49" t="n">
        <v>98</v>
      </c>
      <c r="B100" s="17" t="n"/>
      <c r="C100" s="71" t="n"/>
      <c r="D100" s="17" t="n"/>
      <c r="E100" s="17" t="n"/>
      <c r="F100" s="17" t="n"/>
      <c r="G100" s="71" t="n"/>
      <c r="H100" s="71" t="n"/>
      <c r="I100" s="17" t="n"/>
      <c r="J100" s="17" t="n"/>
      <c r="K100" s="51">
        <f>J100-F100</f>
        <v/>
      </c>
      <c r="L100" s="50">
        <f>K100*24*60</f>
        <v/>
      </c>
      <c r="M100" s="73">
        <f>L100/60</f>
        <v/>
      </c>
    </row>
    <row r="101" customFormat="1" s="60">
      <c r="C101" s="72" t="n"/>
      <c r="G101" s="72" t="n"/>
      <c r="H101" s="72" t="n"/>
    </row>
    <row r="102" customFormat="1" s="60">
      <c r="C102" s="72" t="n"/>
      <c r="G102" s="72" t="n"/>
      <c r="H102" s="72" t="n"/>
    </row>
    <row r="103" customFormat="1" s="60">
      <c r="C103" s="72" t="n"/>
      <c r="G103" s="72" t="n"/>
      <c r="H103" s="72" t="n"/>
    </row>
    <row r="104" customFormat="1" s="60">
      <c r="C104" s="72" t="n"/>
      <c r="G104" s="72" t="n"/>
      <c r="H104" s="72" t="n"/>
    </row>
    <row r="105" customFormat="1" s="60">
      <c r="C105" s="72" t="n"/>
      <c r="G105" s="72" t="n"/>
      <c r="H105" s="72" t="n"/>
    </row>
    <row r="106" customFormat="1" s="60">
      <c r="C106" s="72" t="n"/>
      <c r="G106" s="72" t="n"/>
      <c r="H106" s="72" t="n"/>
    </row>
    <row r="107" customFormat="1" s="60">
      <c r="C107" s="72" t="n"/>
      <c r="G107" s="72" t="n"/>
      <c r="H107" s="72" t="n"/>
    </row>
    <row r="108" customFormat="1" s="60">
      <c r="C108" s="72" t="n"/>
      <c r="G108" s="72" t="n"/>
      <c r="H108" s="72" t="n"/>
    </row>
    <row r="109" customFormat="1" s="60">
      <c r="C109" s="72" t="n"/>
      <c r="G109" s="72" t="n"/>
      <c r="H109" s="72" t="n"/>
    </row>
    <row r="110" customFormat="1" s="60">
      <c r="C110" s="72" t="n"/>
      <c r="G110" s="72" t="n"/>
      <c r="H110" s="72" t="n"/>
    </row>
    <row r="111" customFormat="1" s="60">
      <c r="C111" s="72" t="n"/>
      <c r="G111" s="72" t="n"/>
      <c r="H111" s="72" t="n"/>
    </row>
    <row r="112" customFormat="1" s="60">
      <c r="C112" s="72" t="n"/>
      <c r="G112" s="72" t="n"/>
      <c r="H112" s="72" t="n"/>
    </row>
    <row r="113" customFormat="1" s="60">
      <c r="C113" s="72" t="n"/>
      <c r="G113" s="72" t="n"/>
      <c r="H113" s="72" t="n"/>
    </row>
    <row r="114" customFormat="1" s="60">
      <c r="C114" s="72" t="n"/>
      <c r="G114" s="72" t="n"/>
      <c r="H114" s="72" t="n"/>
    </row>
    <row r="115" customFormat="1" s="60">
      <c r="C115" s="72" t="n"/>
      <c r="G115" s="72" t="n"/>
      <c r="H115" s="72" t="n"/>
    </row>
    <row r="116" customFormat="1" s="60">
      <c r="C116" s="72" t="n"/>
      <c r="G116" s="72" t="n"/>
      <c r="H116" s="72" t="n"/>
    </row>
    <row r="117" customFormat="1" s="60">
      <c r="C117" s="72" t="n"/>
      <c r="G117" s="72" t="n"/>
      <c r="H117" s="72" t="n"/>
    </row>
    <row r="118" customFormat="1" s="60">
      <c r="C118" s="72" t="n"/>
      <c r="G118" s="72" t="n"/>
      <c r="H118" s="72" t="n"/>
    </row>
    <row r="119" customFormat="1" s="60">
      <c r="C119" s="72" t="n"/>
      <c r="G119" s="72" t="n"/>
      <c r="H119" s="72" t="n"/>
    </row>
    <row r="120" customFormat="1" s="60">
      <c r="C120" s="72" t="n"/>
      <c r="G120" s="72" t="n"/>
      <c r="H120" s="72" t="n"/>
    </row>
    <row r="121" customFormat="1" s="60">
      <c r="C121" s="72" t="n"/>
      <c r="G121" s="72" t="n"/>
      <c r="H121" s="72" t="n"/>
    </row>
    <row r="122" customFormat="1" s="60">
      <c r="C122" s="72" t="n"/>
      <c r="G122" s="72" t="n"/>
      <c r="H122" s="72" t="n"/>
    </row>
    <row r="123" customFormat="1" s="60">
      <c r="C123" s="72" t="n"/>
      <c r="G123" s="72" t="n"/>
      <c r="H123" s="72" t="n"/>
    </row>
    <row r="124" customFormat="1" s="60">
      <c r="C124" s="72" t="n"/>
      <c r="G124" s="72" t="n"/>
      <c r="H124" s="72" t="n"/>
    </row>
    <row r="125" customFormat="1" s="60">
      <c r="C125" s="72" t="n"/>
      <c r="G125" s="72" t="n"/>
      <c r="H125" s="72" t="n"/>
    </row>
    <row r="126" customFormat="1" s="60">
      <c r="C126" s="72" t="n"/>
      <c r="G126" s="72" t="n"/>
      <c r="H126" s="72" t="n"/>
    </row>
    <row r="127" customFormat="1" s="60">
      <c r="C127" s="72" t="n"/>
      <c r="G127" s="72" t="n"/>
      <c r="H127" s="72" t="n"/>
    </row>
    <row r="128" customFormat="1" s="60">
      <c r="C128" s="72" t="n"/>
      <c r="G128" s="72" t="n"/>
      <c r="H128" s="72" t="n"/>
    </row>
    <row r="129" customFormat="1" s="60">
      <c r="C129" s="72" t="n"/>
      <c r="G129" s="72" t="n"/>
      <c r="H129" s="72" t="n"/>
    </row>
    <row r="130" customFormat="1" s="60">
      <c r="C130" s="72" t="n"/>
      <c r="G130" s="72" t="n"/>
      <c r="H130" s="72" t="n"/>
    </row>
    <row r="131" customFormat="1" s="60">
      <c r="C131" s="72" t="n"/>
      <c r="G131" s="72" t="n"/>
      <c r="H131" s="72" t="n"/>
    </row>
    <row r="1047792">
      <c r="K1047792" s="10" t="inlineStr">
        <is>
          <t>42 hh : 50 mm</t>
        </is>
      </c>
      <c r="L1047792" s="10" t="n">
        <v>2570</v>
      </c>
      <c r="M1047792" s="10" t="n">
        <v>42.83</v>
      </c>
    </row>
    <row r="1047807" ht="14.45" customHeight="1">
      <c r="F1047807" s="20" t="n">
        <v>43065.75694444445</v>
      </c>
    </row>
  </sheetData>
  <autoFilter ref="B2:M39"/>
  <mergeCells count="1">
    <mergeCell ref="A1:M1"/>
  </mergeCells>
  <dataValidations disablePrompts="1" count="1">
    <dataValidation sqref="H2" showDropDown="0" showInputMessage="1" showErrorMessage="1" allowBlank="1" type="list">
      <formula1>#REF!</formula1>
    </dataValidation>
  </dataValidations>
  <pageMargins left="0.7" right="0.7" top="0.75" bottom="0.75" header="0.3" footer="0.3"/>
  <pageSetup orientation="portrait" horizontalDpi="4294967295" verticalDpi="4294967295"/>
</worksheet>
</file>

<file path=xl/worksheets/sheet13.xml><?xml version="1.0" encoding="utf-8"?>
<worksheet xmlns="http://schemas.openxmlformats.org/spreadsheetml/2006/main">
  <sheetPr codeName="Hoja13">
    <outlinePr summaryBelow="1" summaryRight="1"/>
    <pageSetUpPr/>
  </sheetPr>
  <dimension ref="A1:X677"/>
  <sheetViews>
    <sheetView zoomScale="75" zoomScaleNormal="75" workbookViewId="0">
      <selection activeCell="E2" sqref="E2"/>
    </sheetView>
  </sheetViews>
  <sheetFormatPr baseColWidth="8" defaultColWidth="0" defaultRowHeight="14.45"/>
  <cols>
    <col width="41.42578125" bestFit="1" customWidth="1" style="1" min="1" max="1"/>
    <col width="41.42578125" customWidth="1" style="1" min="2" max="2"/>
    <col width="28" bestFit="1" customWidth="1" style="1" min="3" max="3"/>
    <col width="30.85546875" customWidth="1" style="85" min="4" max="4"/>
    <col width="40.7109375" customWidth="1" min="5" max="5"/>
    <col width="38.42578125" customWidth="1" min="6" max="6"/>
    <col width="22.42578125" customWidth="1" style="1" min="7" max="10"/>
    <col width="82.28515625" bestFit="1" customWidth="1" style="1" min="11" max="11"/>
    <col width="17.28515625" customWidth="1" style="85" min="12" max="12"/>
    <col width="13.28515625" bestFit="1" customWidth="1" min="13" max="13"/>
    <col width="9" customWidth="1" min="14" max="14"/>
    <col width="13.28515625" bestFit="1" customWidth="1" min="15" max="15"/>
    <col width="9" customWidth="1" min="16" max="16"/>
    <col width="13.28515625" bestFit="1" customWidth="1" min="17" max="17"/>
    <col width="9" customWidth="1" min="18" max="18"/>
    <col width="66.42578125" bestFit="1" customWidth="1" style="1" min="19" max="19"/>
    <col width="32.28515625" customWidth="1" style="85" min="20" max="20"/>
    <col width="24.7109375" customWidth="1" min="21" max="22"/>
    <col width="18" customWidth="1" min="23" max="23"/>
    <col width="36.5703125" bestFit="1" customWidth="1" min="24" max="24"/>
    <col width="6.28515625" customWidth="1" min="25" max="25"/>
    <col hidden="1" min="26" max="26"/>
    <col hidden="1" width="11.42578125" customWidth="1" min="27" max="16384"/>
  </cols>
  <sheetData>
    <row r="1" ht="15.6" customFormat="1" customHeight="1" s="12" thickBot="1" thickTop="1">
      <c r="A1" s="365" t="inlineStr">
        <is>
          <t>Telecomuncaciones</t>
        </is>
      </c>
      <c r="B1" s="366" t="n"/>
      <c r="C1" s="365" t="inlineStr">
        <is>
          <t>Telefonía</t>
        </is>
      </c>
      <c r="D1" s="366" t="n"/>
      <c r="E1" s="365" t="inlineStr">
        <is>
          <t>Seguridad Informatica</t>
        </is>
      </c>
      <c r="F1" s="366" t="n"/>
      <c r="G1" s="93" t="n"/>
      <c r="H1" s="93" t="n"/>
      <c r="I1" s="93" t="inlineStr">
        <is>
          <t>Internet</t>
        </is>
      </c>
      <c r="J1" s="93" t="n"/>
      <c r="K1" s="93" t="inlineStr">
        <is>
          <t>Portales</t>
        </is>
      </c>
      <c r="L1" s="93" t="n"/>
      <c r="M1" s="367" t="inlineStr">
        <is>
          <t>SAP</t>
        </is>
      </c>
      <c r="N1" s="366" t="n"/>
      <c r="O1" s="367" t="inlineStr">
        <is>
          <t>Correo</t>
        </is>
      </c>
      <c r="P1" s="366" t="n"/>
      <c r="Q1" s="367" t="inlineStr">
        <is>
          <t>Intranet</t>
        </is>
      </c>
      <c r="R1" s="366" t="n"/>
      <c r="S1" s="365" t="inlineStr">
        <is>
          <t>Bases de Datos</t>
        </is>
      </c>
      <c r="T1" s="366" t="n"/>
      <c r="U1" s="368" t="inlineStr">
        <is>
          <t>DataCenter</t>
        </is>
      </c>
      <c r="V1" s="366" t="n"/>
      <c r="W1" s="368" t="inlineStr">
        <is>
          <t>Almacenamiento</t>
        </is>
      </c>
      <c r="X1" s="366" t="n"/>
    </row>
    <row r="2" ht="15" customFormat="1" customHeight="1" s="12" thickTop="1">
      <c r="A2" s="92" t="inlineStr">
        <is>
          <t>Dispositivo</t>
        </is>
      </c>
      <c r="B2" s="92" t="inlineStr">
        <is>
          <t>Causa</t>
        </is>
      </c>
      <c r="C2" s="92" t="inlineStr">
        <is>
          <t>Dispositivo</t>
        </is>
      </c>
      <c r="D2" s="92" t="inlineStr">
        <is>
          <t>Causa</t>
        </is>
      </c>
      <c r="E2" s="92" t="inlineStr">
        <is>
          <t>Dispositivo</t>
        </is>
      </c>
      <c r="F2" s="92" t="inlineStr">
        <is>
          <t>Causa</t>
        </is>
      </c>
      <c r="G2" s="92" t="n"/>
      <c r="H2" s="92" t="inlineStr">
        <is>
          <t>Causa</t>
        </is>
      </c>
      <c r="I2" s="92" t="inlineStr">
        <is>
          <t>Dispositivo</t>
        </is>
      </c>
      <c r="J2" s="92" t="inlineStr">
        <is>
          <t>Causa</t>
        </is>
      </c>
      <c r="K2" s="92" t="inlineStr">
        <is>
          <t>Dispositivo</t>
        </is>
      </c>
      <c r="L2" s="92" t="inlineStr">
        <is>
          <t>Causa</t>
        </is>
      </c>
      <c r="M2" s="92" t="inlineStr">
        <is>
          <t>Dispositivo</t>
        </is>
      </c>
      <c r="N2" s="92" t="inlineStr">
        <is>
          <t>Causa</t>
        </is>
      </c>
      <c r="O2" s="92" t="inlineStr">
        <is>
          <t>Dispositivo</t>
        </is>
      </c>
      <c r="P2" s="92" t="inlineStr">
        <is>
          <t>Causa</t>
        </is>
      </c>
      <c r="Q2" s="92" t="inlineStr">
        <is>
          <t>Dispositivo</t>
        </is>
      </c>
      <c r="R2" s="92" t="inlineStr">
        <is>
          <t>Causa</t>
        </is>
      </c>
      <c r="S2" s="92" t="inlineStr">
        <is>
          <t>Dispositivo</t>
        </is>
      </c>
      <c r="T2" s="92" t="inlineStr">
        <is>
          <t>Causa</t>
        </is>
      </c>
      <c r="U2" s="92" t="inlineStr">
        <is>
          <t>Dispositivo</t>
        </is>
      </c>
      <c r="V2" s="92" t="inlineStr">
        <is>
          <t>Causa</t>
        </is>
      </c>
      <c r="W2" s="92" t="inlineStr">
        <is>
          <t>Dispositivo</t>
        </is>
      </c>
      <c r="X2" s="92" t="inlineStr">
        <is>
          <t>Causa</t>
        </is>
      </c>
    </row>
    <row r="3">
      <c r="A3" s="7" t="n"/>
      <c r="B3" s="2" t="n"/>
      <c r="D3" s="2" t="n"/>
      <c r="E3" s="13" t="n"/>
      <c r="F3" s="2" t="n"/>
      <c r="K3" s="7" t="n"/>
      <c r="L3" s="7" t="n"/>
      <c r="M3" s="2" t="n"/>
      <c r="N3" s="2" t="n"/>
      <c r="O3" s="2" t="n"/>
      <c r="P3" s="2" t="n"/>
      <c r="Q3" s="2" t="n"/>
      <c r="R3" s="2" t="n"/>
      <c r="T3" s="91" t="n"/>
      <c r="U3" s="86" t="n"/>
      <c r="V3" s="86" t="n"/>
      <c r="W3" s="2" t="n"/>
      <c r="X3" s="87" t="n"/>
    </row>
    <row r="4">
      <c r="A4" s="7" t="n"/>
      <c r="B4" s="2" t="n"/>
      <c r="D4" s="2" t="n"/>
      <c r="E4" s="13" t="n"/>
      <c r="F4" s="2" t="n"/>
      <c r="K4" s="7" t="n"/>
      <c r="L4" s="7" t="n"/>
      <c r="M4" s="2" t="n"/>
      <c r="N4" s="2" t="n"/>
      <c r="O4" s="2" t="n"/>
      <c r="P4" s="2" t="n"/>
      <c r="Q4" s="2" t="n"/>
      <c r="R4" s="2" t="n"/>
      <c r="T4" s="91" t="n"/>
      <c r="U4" s="86" t="n"/>
      <c r="V4" s="86" t="n"/>
      <c r="W4" s="2" t="n"/>
      <c r="X4" s="87" t="n"/>
    </row>
    <row r="5">
      <c r="A5" s="7" t="n"/>
      <c r="B5" s="2" t="n"/>
      <c r="D5" s="2" t="n"/>
      <c r="E5" s="13" t="n"/>
      <c r="F5" s="2" t="n"/>
      <c r="G5" s="2" t="n"/>
      <c r="H5" s="2" t="n"/>
      <c r="I5" s="2" t="n"/>
      <c r="J5" s="2" t="n"/>
      <c r="K5" s="7" t="n"/>
      <c r="L5" s="7" t="n"/>
      <c r="M5" s="2" t="n"/>
      <c r="N5" s="2" t="n"/>
      <c r="O5" s="2" t="n"/>
      <c r="P5" s="2" t="n"/>
      <c r="Q5" s="2" t="n"/>
      <c r="R5" s="2" t="n"/>
      <c r="T5" s="91" t="n"/>
      <c r="U5" s="86" t="n"/>
      <c r="V5" s="86" t="n"/>
      <c r="W5" s="2" t="n"/>
      <c r="X5" s="87" t="n"/>
    </row>
    <row r="6">
      <c r="A6" s="7" t="n"/>
      <c r="B6" s="2" t="n"/>
      <c r="D6" s="2" t="n"/>
      <c r="E6" s="13" t="n"/>
      <c r="F6" s="2" t="n"/>
      <c r="G6" s="2" t="n"/>
      <c r="H6" s="2" t="n"/>
      <c r="I6" s="2" t="n"/>
      <c r="J6" s="2" t="n"/>
      <c r="K6" s="7" t="n"/>
      <c r="L6" s="7" t="n"/>
      <c r="M6" s="2" t="n"/>
      <c r="N6" s="2" t="n"/>
      <c r="O6" s="2" t="n"/>
      <c r="P6" s="2" t="n"/>
      <c r="Q6" s="2" t="n"/>
      <c r="R6" s="2" t="n"/>
      <c r="T6" s="91" t="n"/>
      <c r="U6" s="86" t="n"/>
      <c r="V6" s="86" t="n"/>
      <c r="W6" s="2" t="n"/>
      <c r="X6" s="87" t="n"/>
    </row>
    <row r="7">
      <c r="A7" s="7" t="n"/>
      <c r="B7" s="2" t="n"/>
      <c r="D7" s="2" t="n"/>
      <c r="E7" s="13" t="n"/>
      <c r="F7" s="2" t="n"/>
      <c r="K7" s="7" t="n"/>
      <c r="L7" s="7" t="n"/>
      <c r="M7" s="2" t="n"/>
      <c r="N7" s="2" t="n"/>
      <c r="O7" s="2" t="n"/>
      <c r="P7" s="2" t="n"/>
      <c r="Q7" s="2" t="n"/>
      <c r="R7" s="2" t="n"/>
      <c r="T7" s="91" t="n"/>
      <c r="U7" s="86" t="n"/>
      <c r="V7" s="86" t="n"/>
      <c r="W7" s="2" t="n"/>
      <c r="X7" s="87" t="n"/>
    </row>
    <row r="8">
      <c r="A8" s="7" t="n"/>
      <c r="B8" s="2" t="n"/>
      <c r="D8" s="2" t="n"/>
      <c r="E8" s="13" t="n"/>
      <c r="F8" s="2" t="n"/>
      <c r="K8" s="7" t="n"/>
      <c r="L8" s="7" t="n"/>
      <c r="M8" s="2" t="n"/>
      <c r="N8" s="2" t="n"/>
      <c r="O8" s="2" t="n"/>
      <c r="P8" s="2" t="n"/>
      <c r="Q8" s="2" t="n"/>
      <c r="R8" s="2" t="n"/>
      <c r="T8" s="91" t="n"/>
      <c r="U8" s="86" t="n"/>
      <c r="V8" s="86" t="n"/>
      <c r="W8" s="2" t="n"/>
      <c r="X8" s="87" t="n"/>
    </row>
    <row r="9">
      <c r="A9" s="7" t="n"/>
      <c r="B9" s="2" t="n"/>
      <c r="C9" s="2" t="n"/>
      <c r="D9" s="2" t="n"/>
      <c r="E9" s="13" t="n"/>
      <c r="F9" s="2" t="n"/>
      <c r="K9" s="7" t="n"/>
      <c r="L9" s="7" t="n"/>
      <c r="M9" s="2" t="n"/>
      <c r="N9" s="2" t="n"/>
      <c r="O9" s="2" t="n"/>
      <c r="P9" s="2" t="n"/>
      <c r="Q9" s="2" t="n"/>
      <c r="R9" s="2" t="n"/>
      <c r="T9" s="91" t="n"/>
      <c r="U9" s="86" t="n"/>
      <c r="V9" s="86" t="n"/>
      <c r="W9" s="2" t="n"/>
      <c r="X9" s="87" t="n"/>
    </row>
    <row r="10">
      <c r="A10" s="7" t="n"/>
      <c r="B10" s="2" t="n"/>
      <c r="C10" s="2" t="n"/>
      <c r="D10" s="2" t="n"/>
      <c r="E10" s="13" t="n"/>
      <c r="F10" s="2" t="n"/>
      <c r="K10" s="7" t="n"/>
      <c r="L10" s="7" t="n"/>
      <c r="M10" s="2" t="n"/>
      <c r="N10" s="2" t="n"/>
      <c r="O10" s="2" t="n"/>
      <c r="P10" s="2" t="n"/>
      <c r="Q10" s="2" t="n"/>
      <c r="R10" s="2" t="n"/>
      <c r="T10" s="91" t="n"/>
      <c r="U10" s="86" t="n"/>
      <c r="V10" s="86" t="n"/>
      <c r="W10" s="2" t="n"/>
      <c r="X10" s="87" t="n"/>
    </row>
    <row r="11">
      <c r="A11" s="7" t="n"/>
      <c r="B11" s="7" t="n"/>
      <c r="C11" s="7" t="n"/>
      <c r="D11" s="7" t="n"/>
      <c r="E11" s="13" t="n"/>
      <c r="F11" s="7" t="n"/>
      <c r="K11" s="7" t="n"/>
      <c r="L11" s="7" t="n"/>
      <c r="M11" s="2" t="n"/>
      <c r="N11" s="2" t="n"/>
      <c r="O11" s="2" t="n"/>
      <c r="P11" s="2" t="n"/>
      <c r="Q11" s="2" t="n"/>
      <c r="R11" s="2" t="n"/>
      <c r="T11" s="91" t="n"/>
      <c r="U11" s="86" t="n"/>
      <c r="V11" s="86" t="n"/>
      <c r="W11" s="2" t="n"/>
      <c r="X11" s="87" t="n"/>
    </row>
    <row r="12">
      <c r="A12" s="7" t="n"/>
      <c r="B12" s="2" t="n"/>
      <c r="C12" s="2" t="n"/>
      <c r="D12" s="2" t="n"/>
      <c r="E12" s="13" t="n"/>
      <c r="F12" s="2" t="n"/>
      <c r="K12" s="7" t="n"/>
      <c r="L12" s="7" t="n"/>
      <c r="M12" s="2" t="n"/>
      <c r="N12" s="2" t="n"/>
      <c r="O12" s="2" t="n"/>
      <c r="P12" s="2" t="n"/>
      <c r="Q12" s="2" t="n"/>
      <c r="R12" s="2" t="n"/>
      <c r="T12" s="91" t="n"/>
      <c r="U12" s="86" t="n"/>
      <c r="V12" s="86" t="n"/>
      <c r="W12" s="2" t="n"/>
      <c r="X12" s="87" t="n"/>
    </row>
    <row r="13">
      <c r="A13" s="7" t="n"/>
      <c r="B13" s="2" t="n"/>
      <c r="C13" s="2" t="n"/>
      <c r="D13" s="2" t="n"/>
      <c r="E13" s="13" t="n"/>
      <c r="F13" s="2" t="n"/>
      <c r="K13" s="7" t="n"/>
      <c r="L13" s="7" t="n"/>
      <c r="M13" s="2" t="n"/>
      <c r="N13" s="2" t="n"/>
      <c r="O13" s="2" t="n"/>
      <c r="P13" s="2" t="n"/>
      <c r="Q13" s="2" t="n"/>
      <c r="R13" s="2" t="n"/>
      <c r="T13" s="91" t="n"/>
      <c r="U13" s="86" t="n"/>
      <c r="V13" s="86" t="n"/>
      <c r="W13" s="2" t="n"/>
      <c r="X13" s="87" t="n"/>
    </row>
    <row r="14">
      <c r="A14" s="7" t="n"/>
      <c r="B14" s="2" t="n"/>
      <c r="C14" s="2" t="n"/>
      <c r="D14" s="2" t="n"/>
      <c r="E14" s="13" t="n"/>
      <c r="F14" s="2" t="n"/>
      <c r="K14" s="7" t="n"/>
      <c r="L14" s="7" t="n"/>
      <c r="M14" s="2" t="n"/>
      <c r="N14" s="2" t="n"/>
      <c r="O14" s="2" t="n"/>
      <c r="P14" s="2" t="n"/>
      <c r="Q14" s="2" t="n"/>
      <c r="R14" s="2" t="n"/>
      <c r="T14" s="91" t="n"/>
      <c r="U14" s="86" t="n"/>
      <c r="V14" s="86" t="n"/>
      <c r="W14" s="2" t="n"/>
      <c r="X14" s="87" t="n"/>
    </row>
    <row r="15">
      <c r="A15" s="7" t="n"/>
      <c r="B15" s="2" t="n"/>
      <c r="C15" s="2" t="n"/>
      <c r="D15" s="2" t="n"/>
      <c r="E15" s="13" t="n"/>
      <c r="F15" s="2" t="n"/>
      <c r="K15" s="7" t="n"/>
      <c r="L15" s="7" t="n"/>
      <c r="M15" s="2" t="n"/>
      <c r="N15" s="2" t="n"/>
      <c r="O15" s="2" t="n"/>
      <c r="P15" s="2" t="n"/>
      <c r="Q15" s="2" t="n"/>
      <c r="R15" s="2" t="n"/>
      <c r="T15" s="91" t="n"/>
      <c r="U15" s="86" t="n"/>
      <c r="V15" s="86" t="n"/>
      <c r="W15" s="2" t="n"/>
      <c r="X15" s="87" t="n"/>
    </row>
    <row r="16">
      <c r="A16" s="7" t="n"/>
      <c r="B16" s="2" t="n"/>
      <c r="C16" s="2" t="n"/>
      <c r="D16" s="2" t="n"/>
      <c r="E16" s="14" t="n"/>
      <c r="F16" s="14" t="n"/>
      <c r="K16" s="7" t="n"/>
      <c r="L16" s="7" t="n"/>
      <c r="M16" s="2" t="n"/>
      <c r="N16" s="2" t="n"/>
      <c r="O16" s="2" t="n"/>
      <c r="P16" s="2" t="n"/>
      <c r="Q16" s="2" t="n"/>
      <c r="R16" s="2" t="n"/>
      <c r="T16" s="91" t="n"/>
      <c r="U16" s="86" t="n"/>
      <c r="V16" s="86" t="n"/>
      <c r="W16" s="2" t="n"/>
      <c r="X16" s="87" t="n"/>
    </row>
    <row r="17">
      <c r="A17" s="7" t="n"/>
      <c r="B17" s="2" t="n"/>
      <c r="C17" s="2" t="n"/>
      <c r="D17" s="2" t="n"/>
      <c r="E17" s="14" t="n"/>
      <c r="F17" s="14" t="n"/>
      <c r="K17" s="7" t="n"/>
      <c r="L17" s="7" t="n"/>
      <c r="M17" s="2" t="n"/>
      <c r="N17" s="2" t="n"/>
      <c r="O17" s="2" t="n"/>
      <c r="P17" s="2" t="n"/>
      <c r="Q17" s="2" t="n"/>
      <c r="R17" s="2" t="n"/>
      <c r="T17" s="91" t="n"/>
      <c r="U17" s="86" t="n"/>
      <c r="V17" s="86" t="n"/>
      <c r="W17" s="2" t="n"/>
      <c r="X17" s="87" t="n"/>
    </row>
    <row r="18">
      <c r="A18" s="7" t="n"/>
      <c r="B18" s="2" t="n"/>
      <c r="C18" s="2" t="n"/>
      <c r="D18" s="2" t="n"/>
      <c r="E18" s="15" t="n"/>
      <c r="F18" s="15" t="n"/>
      <c r="K18" s="7" t="n"/>
      <c r="L18" s="7" t="n"/>
      <c r="M18" s="2" t="n"/>
      <c r="N18" s="2" t="n"/>
      <c r="O18" s="2" t="n"/>
      <c r="P18" s="2" t="n"/>
      <c r="Q18" s="2" t="n"/>
      <c r="R18" s="2" t="n"/>
      <c r="T18" s="91" t="n"/>
      <c r="U18" s="86" t="n"/>
      <c r="V18" s="86" t="n"/>
      <c r="W18" s="2" t="n"/>
      <c r="X18" s="87" t="n"/>
    </row>
    <row r="19">
      <c r="A19" s="7" t="n"/>
      <c r="B19" s="2" t="n"/>
      <c r="C19" s="2" t="n"/>
      <c r="D19" s="2" t="n"/>
      <c r="E19" s="16" t="n"/>
      <c r="F19" s="16" t="n"/>
      <c r="K19" s="7" t="n"/>
      <c r="L19" s="7" t="n"/>
      <c r="M19" s="2" t="n"/>
      <c r="N19" s="2" t="n"/>
      <c r="O19" s="2" t="n"/>
      <c r="P19" s="2" t="n"/>
      <c r="Q19" s="2" t="n"/>
      <c r="R19" s="2" t="n"/>
      <c r="T19" s="91" t="n"/>
      <c r="U19" s="86" t="n"/>
      <c r="V19" s="86" t="n"/>
      <c r="W19" s="2" t="n"/>
      <c r="X19" s="87" t="n"/>
    </row>
    <row r="20">
      <c r="A20" s="7" t="n"/>
      <c r="B20" s="21" t="n"/>
      <c r="C20" s="2" t="n"/>
      <c r="D20" s="2" t="n"/>
      <c r="E20" s="2" t="n"/>
      <c r="F20" s="2" t="n"/>
      <c r="K20" s="7" t="n"/>
      <c r="L20" s="7" t="n"/>
      <c r="M20" s="2" t="n"/>
      <c r="N20" s="2" t="n"/>
      <c r="O20" s="2" t="n"/>
      <c r="P20" s="2" t="n"/>
      <c r="Q20" s="2" t="n"/>
      <c r="R20" s="2" t="n"/>
      <c r="T20" s="91" t="n"/>
      <c r="U20" s="86" t="n"/>
      <c r="V20" s="86" t="n"/>
      <c r="W20" s="2" t="n"/>
      <c r="X20" s="87" t="n"/>
    </row>
    <row r="21">
      <c r="A21" s="7" t="n"/>
      <c r="B21" s="21" t="n"/>
      <c r="C21" s="2" t="n"/>
      <c r="D21" s="2" t="n"/>
      <c r="E21" s="2" t="n"/>
      <c r="F21" s="2" t="n"/>
      <c r="K21" s="7" t="n"/>
      <c r="L21" s="7" t="n"/>
      <c r="M21" s="2" t="n"/>
      <c r="N21" s="2" t="n"/>
      <c r="O21" s="2" t="n"/>
      <c r="P21" s="2" t="n"/>
      <c r="Q21" s="2" t="n"/>
      <c r="R21" s="2" t="n"/>
      <c r="T21" s="91" t="n"/>
      <c r="U21" s="86" t="n"/>
      <c r="V21" s="86" t="n"/>
      <c r="W21" s="2" t="n"/>
      <c r="X21" s="87" t="n"/>
    </row>
    <row r="22">
      <c r="A22" s="7" t="n"/>
      <c r="B22" s="21" t="n"/>
      <c r="C22" s="2" t="n"/>
      <c r="D22" s="2" t="n"/>
      <c r="E22" s="2" t="n"/>
      <c r="F22" s="2" t="n"/>
      <c r="K22" s="7" t="n"/>
      <c r="L22" s="7" t="n"/>
      <c r="M22" s="2" t="n"/>
      <c r="N22" s="2" t="n"/>
      <c r="O22" s="2" t="n"/>
      <c r="P22" s="2" t="n"/>
      <c r="Q22" s="2" t="n"/>
      <c r="R22" s="2" t="n"/>
      <c r="T22" s="91" t="n"/>
      <c r="U22" s="86" t="n"/>
      <c r="V22" s="86" t="n"/>
      <c r="W22" s="2" t="n"/>
      <c r="X22" s="87" t="n"/>
    </row>
    <row r="23">
      <c r="A23" s="7" t="n"/>
      <c r="B23" s="79" t="n"/>
      <c r="C23" s="79" t="n"/>
      <c r="D23" s="79" t="n"/>
      <c r="E23" s="2" t="n"/>
      <c r="F23" s="2" t="n"/>
      <c r="G23" s="2" t="n"/>
      <c r="H23" s="2" t="n"/>
      <c r="I23" s="2" t="n"/>
      <c r="J23" s="2" t="n"/>
      <c r="K23" s="7" t="n"/>
      <c r="L23" s="7" t="n"/>
      <c r="M23" s="2" t="n"/>
      <c r="N23" s="2" t="n"/>
      <c r="O23" s="2" t="n"/>
      <c r="P23" s="2" t="n"/>
      <c r="Q23" s="2" t="n"/>
      <c r="R23" s="2" t="n"/>
      <c r="T23" s="91" t="n"/>
      <c r="U23" s="86" t="n"/>
      <c r="V23" s="86" t="n"/>
      <c r="W23" s="2" t="n"/>
      <c r="X23" s="87" t="n"/>
    </row>
    <row r="24">
      <c r="A24" s="7" t="n"/>
      <c r="B24" s="21" t="n"/>
      <c r="C24" s="2" t="n"/>
      <c r="D24" s="2" t="n"/>
      <c r="E24" s="2" t="n"/>
      <c r="F24" s="2" t="n"/>
      <c r="K24" s="7" t="n"/>
      <c r="L24" s="7" t="n"/>
      <c r="M24" s="2" t="n"/>
      <c r="N24" s="2" t="n"/>
      <c r="O24" s="2" t="n"/>
      <c r="P24" s="2" t="n"/>
      <c r="Q24" s="2" t="n"/>
      <c r="R24" s="2" t="n"/>
      <c r="T24" s="91" t="n"/>
      <c r="U24" s="86" t="n"/>
      <c r="V24" s="86" t="n"/>
      <c r="W24" s="2" t="n"/>
      <c r="X24" s="87" t="n"/>
    </row>
    <row r="25">
      <c r="A25" s="7" t="n"/>
      <c r="B25" s="21" t="n"/>
      <c r="C25" s="2" t="n"/>
      <c r="D25" s="2" t="n"/>
      <c r="E25" s="2" t="n"/>
      <c r="F25" s="2" t="n"/>
      <c r="G25" s="2" t="n"/>
      <c r="H25" s="2" t="n"/>
      <c r="I25" s="2" t="n"/>
      <c r="J25" s="2" t="n"/>
      <c r="K25" s="7" t="n"/>
      <c r="L25" s="7" t="n"/>
      <c r="M25" s="2" t="n"/>
      <c r="N25" s="2" t="n"/>
      <c r="O25" s="2" t="n"/>
      <c r="P25" s="2" t="n"/>
      <c r="Q25" s="2" t="n"/>
      <c r="R25" s="2" t="n"/>
      <c r="T25" s="91" t="n"/>
      <c r="U25" s="86" t="n"/>
      <c r="V25" s="86" t="n"/>
      <c r="W25" s="2" t="n"/>
      <c r="X25" s="87" t="n"/>
    </row>
    <row r="26">
      <c r="A26" s="7" t="n"/>
      <c r="B26" s="23" t="n"/>
      <c r="C26" s="7" t="n"/>
      <c r="D26" s="7" t="n"/>
      <c r="E26" s="2" t="n"/>
      <c r="F26" s="2" t="n"/>
      <c r="K26" s="7" t="n"/>
      <c r="L26" s="7" t="n"/>
      <c r="M26" s="2" t="n"/>
      <c r="N26" s="2" t="n"/>
      <c r="O26" s="2" t="n"/>
      <c r="P26" s="2" t="n"/>
      <c r="Q26" s="2" t="n"/>
      <c r="R26" s="2" t="n"/>
      <c r="T26" s="91" t="n"/>
      <c r="U26" s="86" t="n"/>
      <c r="V26" s="86" t="n"/>
      <c r="W26" s="2" t="n"/>
      <c r="X26" s="87" t="n"/>
    </row>
    <row r="27">
      <c r="A27" s="7" t="n"/>
      <c r="B27" s="21" t="n"/>
      <c r="C27" s="2" t="n"/>
      <c r="D27" s="2" t="n"/>
      <c r="E27" s="2" t="n"/>
      <c r="F27" s="2" t="n"/>
      <c r="J27" s="85" t="n"/>
      <c r="M27" s="2" t="n"/>
      <c r="N27" s="2" t="n"/>
      <c r="O27" s="2" t="n"/>
      <c r="P27" s="2" t="n"/>
      <c r="Q27" s="2" t="n"/>
      <c r="R27" s="2" t="n"/>
      <c r="T27" s="91" t="n"/>
      <c r="U27" s="86" t="n"/>
      <c r="V27" s="86" t="n"/>
      <c r="W27" s="2" t="n"/>
      <c r="X27" s="87" t="n"/>
    </row>
    <row r="28">
      <c r="A28" s="7" t="n"/>
      <c r="B28" s="21" t="n"/>
      <c r="C28" s="2" t="n"/>
      <c r="D28" s="2" t="n"/>
      <c r="E28" s="2" t="n"/>
      <c r="F28" s="2" t="n"/>
      <c r="K28" s="7" t="n"/>
      <c r="L28" s="7" t="n"/>
      <c r="M28" s="2" t="n"/>
      <c r="N28" s="2" t="n"/>
      <c r="O28" s="2" t="n"/>
      <c r="P28" s="2" t="n"/>
      <c r="Q28" s="2" t="n"/>
      <c r="R28" s="2" t="n"/>
      <c r="T28" s="91" t="n"/>
      <c r="U28" s="86" t="n"/>
      <c r="V28" s="86" t="n"/>
      <c r="W28" s="2" t="n"/>
      <c r="X28" s="87" t="n"/>
    </row>
    <row r="29">
      <c r="A29" s="7" t="n"/>
      <c r="B29" s="21" t="n"/>
      <c r="C29" s="2" t="n"/>
      <c r="D29" s="2" t="n"/>
      <c r="E29" s="2" t="n"/>
      <c r="F29" s="2" t="n"/>
      <c r="K29" s="7" t="n"/>
      <c r="L29" s="7" t="n"/>
      <c r="M29" s="2" t="n"/>
      <c r="N29" s="2" t="n"/>
      <c r="O29" s="2" t="n"/>
      <c r="P29" s="2" t="n"/>
      <c r="Q29" s="2" t="n"/>
      <c r="R29" s="2" t="n"/>
      <c r="T29" s="91" t="n"/>
      <c r="U29" s="86" t="n"/>
      <c r="V29" s="86" t="n"/>
      <c r="W29" s="2" t="n"/>
      <c r="X29" s="87" t="n"/>
    </row>
    <row r="30">
      <c r="A30" s="7" t="n"/>
      <c r="B30" s="21" t="n"/>
      <c r="C30" s="2" t="n"/>
      <c r="D30" s="2" t="n"/>
      <c r="E30" s="2" t="n"/>
      <c r="F30" s="2" t="n"/>
      <c r="K30" s="7" t="n"/>
      <c r="L30" s="7" t="n"/>
      <c r="M30" s="2" t="n"/>
      <c r="N30" s="2" t="n"/>
      <c r="O30" s="2" t="n"/>
      <c r="P30" s="2" t="n"/>
      <c r="Q30" s="2" t="n"/>
      <c r="R30" s="2" t="n"/>
      <c r="T30" s="91" t="n"/>
      <c r="U30" s="86" t="n"/>
      <c r="V30" s="86" t="n"/>
      <c r="W30" s="2" t="n"/>
      <c r="X30" s="87" t="n"/>
    </row>
    <row r="31">
      <c r="A31" s="7" t="n"/>
      <c r="B31" s="21" t="n"/>
      <c r="C31" s="2" t="n"/>
      <c r="D31" s="2" t="n"/>
      <c r="E31" s="2" t="n"/>
      <c r="F31" s="2" t="n"/>
      <c r="K31" s="7" t="n"/>
      <c r="L31" s="7" t="n"/>
      <c r="M31" s="2" t="n"/>
      <c r="N31" s="2" t="n"/>
      <c r="O31" s="2" t="n"/>
      <c r="P31" s="2" t="n"/>
      <c r="Q31" s="2" t="n"/>
      <c r="R31" s="2" t="n"/>
      <c r="T31" s="91" t="n"/>
      <c r="U31" s="86" t="n"/>
      <c r="V31" s="86" t="n"/>
      <c r="W31" s="2" t="n"/>
      <c r="X31" s="87" t="n"/>
    </row>
    <row r="32">
      <c r="A32" s="7" t="n"/>
      <c r="B32" s="21" t="n"/>
      <c r="C32" s="2" t="n"/>
      <c r="D32" s="2" t="n"/>
      <c r="E32" s="2" t="n"/>
      <c r="F32" s="2" t="n"/>
      <c r="L32" s="1" t="n"/>
      <c r="M32" s="2" t="n"/>
      <c r="N32" s="2" t="n"/>
      <c r="O32" s="2" t="n"/>
      <c r="P32" s="2" t="n"/>
      <c r="Q32" s="2" t="n"/>
      <c r="R32" s="2" t="n"/>
      <c r="T32" s="91" t="n"/>
      <c r="U32" s="86" t="n"/>
      <c r="V32" s="86" t="n"/>
      <c r="W32" s="2" t="n"/>
      <c r="X32" s="87" t="n"/>
    </row>
    <row r="33">
      <c r="A33" s="7" t="n"/>
      <c r="B33" s="21" t="n"/>
      <c r="C33" s="2" t="n"/>
      <c r="D33" s="2" t="n"/>
      <c r="E33" s="2" t="n"/>
      <c r="F33" s="2" t="n"/>
      <c r="L33" s="1" t="n"/>
      <c r="M33" s="2" t="n"/>
      <c r="N33" s="2" t="n"/>
      <c r="O33" s="2" t="n"/>
      <c r="P33" s="2" t="n"/>
      <c r="Q33" s="2" t="n"/>
      <c r="R33" s="2" t="n"/>
      <c r="T33" s="91" t="n"/>
      <c r="U33" s="86" t="n"/>
      <c r="V33" s="86" t="n"/>
      <c r="W33" s="2" t="n"/>
      <c r="X33" s="87" t="n"/>
    </row>
    <row r="34">
      <c r="A34" s="7" t="n"/>
      <c r="B34" s="21" t="n"/>
      <c r="C34" s="21" t="n"/>
      <c r="D34" s="21" t="n"/>
      <c r="E34" s="2" t="n"/>
      <c r="F34" s="2" t="n"/>
      <c r="G34" s="2" t="n"/>
      <c r="H34" s="2" t="n"/>
      <c r="I34" s="2" t="n"/>
      <c r="J34" s="2" t="n"/>
      <c r="L34" s="1" t="n"/>
      <c r="M34" s="2" t="n"/>
      <c r="N34" s="2" t="n"/>
      <c r="O34" s="2" t="n"/>
      <c r="P34" s="2" t="n"/>
      <c r="Q34" s="2" t="n"/>
      <c r="R34" s="2" t="n"/>
      <c r="T34" s="91" t="n"/>
      <c r="U34" s="86" t="n"/>
      <c r="V34" s="86" t="n"/>
      <c r="W34" s="2" t="n"/>
      <c r="X34" s="87" t="n"/>
    </row>
    <row r="35">
      <c r="A35" s="7" t="n"/>
      <c r="B35" s="21" t="n"/>
      <c r="C35" s="21" t="n"/>
      <c r="D35" s="21" t="n"/>
      <c r="E35" s="2" t="n"/>
      <c r="F35" s="2" t="n"/>
      <c r="L35" s="1" t="n"/>
      <c r="M35" s="2" t="n"/>
      <c r="N35" s="2" t="n"/>
      <c r="O35" s="2" t="n"/>
      <c r="P35" s="2" t="n"/>
      <c r="Q35" s="2" t="n"/>
      <c r="R35" s="2" t="n"/>
      <c r="T35" s="91" t="n"/>
      <c r="U35" s="86" t="n"/>
      <c r="V35" s="86" t="n"/>
      <c r="W35" s="2" t="n"/>
      <c r="X35" s="87" t="n"/>
    </row>
    <row r="36">
      <c r="A36" s="7" t="n"/>
      <c r="B36" s="21" t="n"/>
      <c r="C36" s="21" t="n"/>
      <c r="D36" s="21" t="n"/>
      <c r="E36" s="2" t="n"/>
      <c r="F36" s="2" t="n"/>
      <c r="L36" s="1" t="n"/>
      <c r="M36" s="2" t="n"/>
      <c r="N36" s="2" t="n"/>
      <c r="O36" s="2" t="n"/>
      <c r="P36" s="2" t="n"/>
      <c r="Q36" s="2" t="n"/>
      <c r="R36" s="2" t="n"/>
      <c r="T36" s="91" t="n"/>
      <c r="U36" s="86" t="n"/>
      <c r="V36" s="86" t="n"/>
      <c r="W36" s="2" t="n"/>
      <c r="X36" s="87" t="n"/>
    </row>
    <row r="37">
      <c r="A37" s="7" t="n"/>
      <c r="B37" s="79" t="n"/>
      <c r="C37" s="79" t="n"/>
      <c r="D37" s="79" t="n"/>
      <c r="E37" s="2" t="n"/>
      <c r="F37" s="2" t="n"/>
      <c r="G37" s="2" t="n"/>
      <c r="H37" s="2" t="n"/>
      <c r="I37" s="2" t="n"/>
      <c r="J37" s="2" t="n"/>
      <c r="L37" s="1" t="n"/>
      <c r="M37" s="2" t="n"/>
      <c r="N37" s="2" t="n"/>
      <c r="O37" s="2" t="n"/>
      <c r="P37" s="2" t="n"/>
      <c r="Q37" s="2" t="n"/>
      <c r="R37" s="2" t="n"/>
      <c r="T37" s="91" t="n"/>
      <c r="U37" s="86" t="n"/>
      <c r="V37" s="86" t="n"/>
      <c r="W37" s="2" t="n"/>
      <c r="X37" s="87" t="n"/>
    </row>
    <row r="38">
      <c r="A38" s="7" t="n"/>
      <c r="B38" s="23" t="n"/>
      <c r="C38" s="23" t="n"/>
      <c r="D38" s="23" t="n"/>
      <c r="E38" s="2" t="n"/>
      <c r="F38" s="2" t="n"/>
      <c r="L38" s="1" t="n"/>
      <c r="M38" s="2" t="n"/>
      <c r="N38" s="2" t="n"/>
      <c r="O38" s="2" t="n"/>
      <c r="P38" s="2" t="n"/>
      <c r="Q38" s="2" t="n"/>
      <c r="R38" s="2" t="n"/>
      <c r="T38" s="91" t="n"/>
      <c r="U38" s="86" t="n"/>
      <c r="V38" s="86" t="n"/>
      <c r="W38" s="2" t="n"/>
      <c r="X38" s="87" t="n"/>
    </row>
    <row r="39">
      <c r="A39" s="7" t="n"/>
      <c r="B39" s="23" t="n"/>
      <c r="C39" s="23" t="n"/>
      <c r="D39" s="23" t="n"/>
      <c r="E39" s="23" t="n"/>
      <c r="F39" s="2" t="n"/>
      <c r="L39" s="1" t="n"/>
      <c r="M39" s="2" t="n"/>
      <c r="N39" s="2" t="n"/>
      <c r="O39" s="2" t="n"/>
      <c r="P39" s="2" t="n"/>
      <c r="Q39" s="2" t="n"/>
      <c r="R39" s="2" t="n"/>
      <c r="T39" s="91" t="n"/>
      <c r="U39" s="86" t="n"/>
      <c r="V39" s="86" t="n"/>
      <c r="W39" s="2" t="n"/>
      <c r="X39" s="87" t="n"/>
    </row>
    <row r="40">
      <c r="A40" s="7" t="n"/>
      <c r="B40" s="23" t="n"/>
      <c r="C40" s="23" t="n"/>
      <c r="D40" s="23" t="n"/>
      <c r="E40" s="2" t="n"/>
      <c r="F40" s="2" t="n"/>
      <c r="L40" s="1" t="n"/>
      <c r="M40" s="2" t="n"/>
      <c r="N40" s="2" t="n"/>
      <c r="O40" s="2" t="n"/>
      <c r="P40" s="2" t="n"/>
      <c r="Q40" s="2" t="n"/>
      <c r="R40" s="2" t="n"/>
      <c r="T40" s="91" t="n"/>
      <c r="U40" s="86" t="n"/>
      <c r="V40" s="86" t="n"/>
      <c r="W40" s="2" t="n"/>
      <c r="X40" s="87" t="n"/>
    </row>
    <row r="41">
      <c r="A41" s="7" t="n"/>
      <c r="B41" s="23" t="n"/>
      <c r="C41" s="23" t="n"/>
      <c r="D41" s="23" t="n"/>
      <c r="E41" s="2" t="n"/>
      <c r="F41" s="2" t="n"/>
      <c r="L41" s="1" t="n"/>
      <c r="M41" s="2" t="n"/>
      <c r="N41" s="2" t="n"/>
      <c r="O41" s="2" t="n"/>
      <c r="P41" s="2" t="n"/>
      <c r="Q41" s="2" t="n"/>
      <c r="R41" s="2" t="n"/>
      <c r="T41" s="91" t="n"/>
      <c r="U41" s="86" t="n"/>
      <c r="V41" s="86" t="n"/>
      <c r="W41" s="2" t="n"/>
      <c r="X41" s="87" t="n"/>
    </row>
    <row r="42">
      <c r="A42" s="7" t="n"/>
      <c r="B42" s="23" t="n"/>
      <c r="C42" s="23" t="n"/>
      <c r="D42" s="23" t="n"/>
      <c r="E42" s="2" t="n"/>
      <c r="F42" s="2" t="n"/>
      <c r="L42" s="1" t="n"/>
      <c r="M42" s="2" t="n"/>
      <c r="N42" s="2" t="n"/>
      <c r="O42" s="2" t="n"/>
      <c r="P42" s="2" t="n"/>
      <c r="Q42" s="2" t="n"/>
      <c r="R42" s="2" t="n"/>
      <c r="T42" s="91" t="n"/>
      <c r="U42" s="86" t="n"/>
      <c r="V42" s="86" t="n"/>
      <c r="W42" s="2" t="n"/>
      <c r="X42" s="87" t="n"/>
    </row>
    <row r="43">
      <c r="A43" s="7" t="n"/>
      <c r="B43" s="23" t="n"/>
      <c r="C43" s="23" t="n"/>
      <c r="D43" s="23" t="n"/>
      <c r="E43" s="2" t="n"/>
      <c r="F43" s="2" t="n"/>
      <c r="G43" s="2" t="n"/>
      <c r="H43" s="2" t="n"/>
      <c r="I43" s="2" t="n"/>
      <c r="J43" s="2" t="n"/>
      <c r="L43" s="1" t="n"/>
      <c r="M43" s="2" t="n"/>
      <c r="N43" s="2" t="n"/>
      <c r="O43" s="2" t="n"/>
      <c r="P43" s="2" t="n"/>
      <c r="Q43" s="2" t="n"/>
      <c r="R43" s="2" t="n"/>
      <c r="S43" s="1" t="inlineStr">
        <is>
          <t>Audisoft_Main:SQL:Auditorias control interno: TAURO</t>
        </is>
      </c>
      <c r="T43" s="91" t="n"/>
      <c r="U43" s="86" t="n"/>
      <c r="V43" s="86" t="n"/>
      <c r="W43" s="2" t="n"/>
      <c r="X43" s="87" t="n"/>
    </row>
    <row r="44">
      <c r="A44" s="7" t="n"/>
      <c r="B44" s="23" t="n"/>
      <c r="C44" s="23" t="n"/>
      <c r="D44" s="23" t="n"/>
      <c r="E44" s="2" t="n"/>
      <c r="F44" s="2" t="n"/>
      <c r="L44" s="1" t="n"/>
      <c r="M44" s="2" t="n"/>
      <c r="N44" s="2" t="n"/>
      <c r="O44" s="2" t="n"/>
      <c r="P44" s="2" t="n"/>
      <c r="Q44" s="2" t="n"/>
      <c r="R44" s="2" t="n"/>
      <c r="S44" s="1" t="inlineStr">
        <is>
          <t>DBSMA:Oracle:Sistema Arbol Urbano:ZEUS4</t>
        </is>
      </c>
      <c r="T44" s="91" t="n"/>
      <c r="U44" s="86" t="n"/>
      <c r="V44" s="86" t="n"/>
      <c r="W44" s="2" t="n"/>
      <c r="X44" s="87" t="n"/>
    </row>
    <row r="45">
      <c r="A45" s="7" t="n"/>
      <c r="B45" s="23" t="n"/>
      <c r="C45" s="23" t="n"/>
      <c r="D45" s="23" t="n"/>
      <c r="E45" s="2" t="n"/>
      <c r="F45" s="2" t="n"/>
      <c r="L45" s="1" t="n"/>
      <c r="M45" s="2" t="n"/>
      <c r="N45" s="2" t="n"/>
      <c r="O45" s="2" t="n"/>
      <c r="P45" s="2" t="n"/>
      <c r="Q45" s="2" t="n"/>
      <c r="R45" s="2" t="n"/>
      <c r="S45" s="1" t="inlineStr">
        <is>
          <t>BCOPOWEB:Oracle:Banco de las oportunidades:SIGMA</t>
        </is>
      </c>
      <c r="T45" s="91" t="n"/>
      <c r="U45" s="86" t="n"/>
      <c r="V45" s="86" t="n"/>
      <c r="W45" s="2" t="n"/>
      <c r="X45" s="87" t="n"/>
    </row>
    <row r="46">
      <c r="A46" s="2" t="n"/>
      <c r="B46" s="21" t="n"/>
      <c r="C46" s="21" t="n"/>
      <c r="D46" s="21" t="n"/>
      <c r="E46" s="2" t="n"/>
      <c r="F46" s="2" t="n"/>
      <c r="L46" s="1" t="n"/>
      <c r="M46" s="2" t="n"/>
      <c r="N46" s="2" t="n"/>
      <c r="O46" s="2" t="n"/>
      <c r="P46" s="2" t="n"/>
      <c r="Q46" s="2" t="n"/>
      <c r="R46" s="2" t="n"/>
      <c r="S46" s="1" t="inlineStr">
        <is>
          <t>SIMON:Oracle:Sistema unico de monitoreo y control:ORDB</t>
        </is>
      </c>
      <c r="T46" s="91" t="n"/>
      <c r="U46" s="86" t="n"/>
      <c r="V46" s="86" t="n"/>
      <c r="W46" s="2" t="n"/>
      <c r="X46" s="87" t="n"/>
    </row>
    <row r="47">
      <c r="A47" s="7" t="n"/>
      <c r="B47" s="23" t="n"/>
      <c r="C47" s="23" t="n"/>
      <c r="D47" s="23" t="n"/>
      <c r="E47" s="2" t="n"/>
      <c r="F47" s="2" t="n"/>
      <c r="L47" s="1" t="n"/>
      <c r="M47" s="2" t="n"/>
      <c r="N47" s="2" t="n"/>
      <c r="O47" s="2" t="n"/>
      <c r="P47" s="2" t="n"/>
      <c r="Q47" s="2" t="n"/>
      <c r="R47" s="2" t="n"/>
      <c r="S47" s="1" t="inlineStr">
        <is>
          <t>LcsLog:SQL:Link Server: TAURO</t>
        </is>
      </c>
      <c r="T47" s="91" t="n"/>
      <c r="U47" s="86" t="n"/>
      <c r="V47" s="86" t="n"/>
      <c r="W47" s="2" t="n"/>
      <c r="X47" s="87" t="n"/>
    </row>
    <row r="48">
      <c r="A48" s="7" t="n"/>
      <c r="B48" s="23" t="n"/>
      <c r="C48" s="23" t="n"/>
      <c r="D48" s="23" t="n"/>
      <c r="E48" s="2" t="n"/>
      <c r="F48" s="2" t="n"/>
      <c r="L48" s="1" t="n"/>
      <c r="M48" s="2" t="n"/>
      <c r="N48" s="2" t="n"/>
      <c r="O48" s="2" t="n"/>
      <c r="P48" s="2" t="n"/>
      <c r="Q48" s="2" t="n"/>
      <c r="R48" s="2" t="n"/>
      <c r="S48" s="1" t="inlineStr">
        <is>
          <t>APS:Oracle:Sistema Sisaps:ICARUS</t>
        </is>
      </c>
      <c r="T48" s="91" t="n"/>
      <c r="U48" s="86" t="n"/>
      <c r="V48" s="86" t="n"/>
      <c r="W48" s="2" t="n"/>
      <c r="X48" s="87" t="n"/>
    </row>
    <row r="49">
      <c r="A49" s="7" t="n"/>
      <c r="B49" s="23" t="n"/>
      <c r="C49" s="23" t="n"/>
      <c r="D49" s="23" t="n"/>
      <c r="E49" s="2" t="n"/>
      <c r="F49" s="2" t="n"/>
      <c r="G49" s="2" t="n"/>
      <c r="H49" s="2" t="n"/>
      <c r="I49" s="2" t="n"/>
      <c r="J49" s="2" t="n"/>
      <c r="L49" s="1" t="n"/>
      <c r="M49" s="2" t="n"/>
      <c r="N49" s="2" t="n"/>
      <c r="O49" s="2" t="n"/>
      <c r="P49" s="2" t="n"/>
      <c r="Q49" s="2" t="n"/>
      <c r="R49" s="2" t="n"/>
      <c r="S49" s="1" t="inlineStr">
        <is>
          <t>BdMedellinFlorece:SQL:Campañas Portal: TAURO</t>
        </is>
      </c>
      <c r="T49" s="91" t="n"/>
      <c r="U49" s="86" t="n"/>
      <c r="V49" s="86" t="n"/>
      <c r="W49" s="2" t="n"/>
      <c r="X49" s="87" t="n"/>
    </row>
    <row r="50">
      <c r="A50" s="7" t="n"/>
      <c r="B50" s="23" t="n"/>
      <c r="C50" s="23" t="n"/>
      <c r="D50" s="23" t="n"/>
      <c r="E50" s="2" t="n"/>
      <c r="F50" s="2" t="n"/>
      <c r="L50" s="1" t="n"/>
      <c r="M50" s="2" t="n"/>
      <c r="N50" s="2" t="n"/>
      <c r="O50" s="2" t="n"/>
      <c r="P50" s="2" t="n"/>
      <c r="Q50" s="2" t="n"/>
      <c r="R50" s="2" t="n"/>
      <c r="S50" s="1" t="inlineStr">
        <is>
          <t>GPC:SQL:Aplicación virtual: TAURO</t>
        </is>
      </c>
      <c r="T50" s="91" t="n"/>
      <c r="U50" s="86" t="n"/>
      <c r="V50" s="86" t="n"/>
      <c r="W50" s="2" t="n"/>
      <c r="X50" s="87" t="n"/>
    </row>
    <row r="51">
      <c r="A51" s="7" t="n"/>
      <c r="B51" s="23" t="n"/>
      <c r="C51" s="23" t="n"/>
      <c r="D51" s="23" t="n"/>
      <c r="E51" s="2" t="n"/>
      <c r="F51" s="2" t="n"/>
      <c r="L51" s="1" t="n"/>
      <c r="M51" s="2" t="n"/>
      <c r="N51" s="2" t="n"/>
      <c r="O51" s="2" t="n"/>
      <c r="P51" s="2" t="n"/>
      <c r="Q51" s="2" t="n"/>
      <c r="R51" s="2" t="n"/>
      <c r="S51" s="1" t="inlineStr">
        <is>
          <t>dbAlcaldeProduccion:SQL:: TAURO</t>
        </is>
      </c>
      <c r="T51" s="91" t="n"/>
      <c r="U51" s="86" t="n"/>
      <c r="V51" s="86" t="n"/>
      <c r="W51" s="2" t="n"/>
      <c r="X51" s="87" t="n"/>
    </row>
    <row r="52">
      <c r="A52" s="7" t="n"/>
      <c r="B52" s="23" t="n"/>
      <c r="C52" s="23" t="n"/>
      <c r="D52" s="23" t="n"/>
      <c r="E52" s="2" t="n"/>
      <c r="F52" s="2" t="n"/>
      <c r="L52" s="1" t="n"/>
      <c r="M52" s="2" t="n"/>
      <c r="N52" s="2" t="n"/>
      <c r="O52" s="2" t="n"/>
      <c r="P52" s="2" t="n"/>
      <c r="Q52" s="2" t="n"/>
      <c r="R52" s="2" t="n"/>
      <c r="S52" s="1" t="inlineStr">
        <is>
          <t>Archivo_SSM:SQL:: TAURO</t>
        </is>
      </c>
      <c r="T52" s="91" t="n"/>
      <c r="U52" s="86" t="n"/>
      <c r="V52" s="86" t="n"/>
      <c r="W52" s="2" t="n"/>
      <c r="X52" s="87" t="n"/>
    </row>
    <row r="53">
      <c r="A53" s="7" t="n"/>
      <c r="B53" s="23" t="n"/>
      <c r="C53" s="23" t="n"/>
      <c r="D53" s="23" t="n"/>
      <c r="E53" s="2" t="n"/>
      <c r="F53" s="2" t="n"/>
      <c r="L53" s="1" t="n"/>
      <c r="M53" s="2" t="n"/>
      <c r="N53" s="2" t="n"/>
      <c r="O53" s="2" t="n"/>
      <c r="P53" s="2" t="n"/>
      <c r="Q53" s="2" t="n"/>
      <c r="R53" s="2" t="n"/>
      <c r="S53" s="1" t="inlineStr">
        <is>
          <t>master:SQL:Bd sistema: TAURO</t>
        </is>
      </c>
      <c r="T53" s="91" t="n"/>
      <c r="U53" s="86" t="n"/>
      <c r="V53" s="86" t="n"/>
      <c r="W53" s="2" t="n"/>
      <c r="X53" s="87" t="n"/>
    </row>
    <row r="54">
      <c r="A54" s="7" t="n"/>
      <c r="B54" s="23" t="n"/>
      <c r="C54" s="23" t="n"/>
      <c r="D54" s="23" t="n"/>
      <c r="E54" s="2" t="n"/>
      <c r="F54" s="2" t="n"/>
      <c r="L54" s="1" t="n"/>
      <c r="M54" s="2" t="n"/>
      <c r="N54" s="2" t="n"/>
      <c r="O54" s="2" t="n"/>
      <c r="P54" s="2" t="n"/>
      <c r="Q54" s="2" t="n"/>
      <c r="R54" s="2" t="n"/>
      <c r="S54" s="1" t="inlineStr">
        <is>
          <t>AMMIDAS:SQL:Sisoft: TAURO</t>
        </is>
      </c>
      <c r="T54" s="91" t="n"/>
      <c r="U54" s="86" t="n"/>
      <c r="V54" s="86" t="n"/>
      <c r="W54" s="2" t="n"/>
      <c r="X54" s="87" t="n"/>
    </row>
    <row r="55">
      <c r="A55" s="7" t="n"/>
      <c r="B55" s="23" t="n"/>
      <c r="C55" s="23" t="n"/>
      <c r="D55" s="23" t="n"/>
      <c r="E55" s="2" t="n"/>
      <c r="F55" s="2" t="n"/>
      <c r="L55" s="1" t="n"/>
      <c r="M55" s="2" t="n"/>
      <c r="N55" s="2" t="n"/>
      <c r="O55" s="2" t="n"/>
      <c r="P55" s="2" t="n"/>
      <c r="Q55" s="2" t="n"/>
      <c r="R55" s="2" t="n"/>
      <c r="S55" s="1" t="inlineStr">
        <is>
          <t>INT_PRD:SQL:aplicación portales: TAURO</t>
        </is>
      </c>
      <c r="T55" s="91" t="n"/>
      <c r="U55" s="86" t="n"/>
      <c r="V55" s="86" t="n"/>
      <c r="W55" s="2" t="n"/>
      <c r="X55" s="87" t="n"/>
    </row>
    <row r="56">
      <c r="A56" s="7" t="n"/>
      <c r="B56" s="23" t="n"/>
      <c r="C56" s="23" t="n"/>
      <c r="D56" s="23" t="n"/>
      <c r="E56" s="2" t="n"/>
      <c r="F56" s="2" t="n"/>
      <c r="L56" s="1" t="n"/>
      <c r="M56" s="2" t="n"/>
      <c r="N56" s="2" t="n"/>
      <c r="O56" s="2" t="n"/>
      <c r="P56" s="2" t="n"/>
      <c r="Q56" s="2" t="n"/>
      <c r="R56" s="2" t="n"/>
      <c r="S56" s="1" t="inlineStr">
        <is>
          <t>SIPE:Oracle:Sipecodi:ORDB</t>
        </is>
      </c>
      <c r="T56" s="91" t="n"/>
      <c r="U56" s="86" t="n"/>
      <c r="V56" s="86" t="n"/>
      <c r="W56" s="2" t="n"/>
      <c r="X56" s="87" t="n"/>
    </row>
    <row r="57">
      <c r="A57" s="7" t="n"/>
      <c r="B57" s="23" t="n"/>
      <c r="C57" s="23" t="n"/>
      <c r="D57" s="23" t="n"/>
      <c r="E57" s="2" t="n"/>
      <c r="F57" s="2" t="n"/>
      <c r="L57" s="1" t="n"/>
      <c r="M57" s="2" t="n"/>
      <c r="N57" s="2" t="n"/>
      <c r="O57" s="2" t="n"/>
      <c r="P57" s="2" t="n"/>
      <c r="Q57" s="2" t="n"/>
      <c r="R57" s="2" t="n"/>
      <c r="S57" s="1" t="inlineStr">
        <is>
          <t>BOBPPAUD:Oracle:Bussines Object:SIGMA</t>
        </is>
      </c>
      <c r="T57" s="91" t="n"/>
      <c r="U57" s="86" t="n"/>
      <c r="V57" s="86" t="n"/>
      <c r="W57" s="2" t="n"/>
      <c r="X57" s="87" t="n"/>
    </row>
    <row r="58">
      <c r="A58" s="7" t="n"/>
      <c r="B58" s="23" t="n"/>
      <c r="C58" s="23" t="n"/>
      <c r="D58" s="23" t="n"/>
      <c r="E58" s="2" t="n"/>
      <c r="F58" s="2" t="n"/>
      <c r="L58" s="1" t="n"/>
      <c r="M58" s="2" t="n"/>
      <c r="N58" s="2" t="n"/>
      <c r="O58" s="2" t="n"/>
      <c r="P58" s="2" t="n"/>
      <c r="Q58" s="2" t="n"/>
      <c r="R58" s="2" t="n"/>
      <c r="S58" s="1" t="inlineStr">
        <is>
          <t>ATLASH:Oracle:Consolidacion de Historico de Atlas:ICARUS</t>
        </is>
      </c>
      <c r="T58" s="91" t="n"/>
      <c r="U58" s="86" t="n"/>
      <c r="V58" s="86" t="n"/>
      <c r="W58" s="2" t="n"/>
      <c r="X58" s="87" t="n"/>
    </row>
    <row r="59">
      <c r="A59" s="7" t="n"/>
      <c r="B59" s="23" t="n"/>
      <c r="C59" s="23" t="n"/>
      <c r="D59" s="23" t="n"/>
      <c r="E59" s="2" t="n"/>
      <c r="F59" s="2" t="n"/>
      <c r="L59" s="1" t="n"/>
      <c r="M59" s="2" t="n"/>
      <c r="N59" s="2" t="n"/>
      <c r="O59" s="2" t="n"/>
      <c r="P59" s="2" t="n"/>
      <c r="Q59" s="2" t="n"/>
      <c r="R59" s="2" t="n"/>
      <c r="S59" s="1" t="inlineStr">
        <is>
          <t>BdMedioAmbienteProd:SQL:Campañas Portal: TAURO</t>
        </is>
      </c>
      <c r="T59" s="91" t="n"/>
      <c r="U59" s="86" t="n"/>
      <c r="V59" s="86" t="n"/>
      <c r="W59" s="2" t="n"/>
      <c r="X59" s="87" t="n"/>
    </row>
    <row r="60">
      <c r="B60" s="80" t="n"/>
      <c r="C60" s="80" t="n"/>
      <c r="D60" s="80" t="n"/>
      <c r="E60" s="2" t="n"/>
      <c r="F60" s="2" t="n"/>
      <c r="L60" s="1" t="n"/>
      <c r="M60" s="2" t="n"/>
      <c r="N60" s="2" t="n"/>
      <c r="O60" s="2" t="n"/>
      <c r="P60" s="2" t="n"/>
      <c r="Q60" s="2" t="n"/>
      <c r="R60" s="2" t="n"/>
      <c r="S60" s="1" t="inlineStr">
        <is>
          <t>CatastroEne2009:SQL:Historicos Gicat: TAURO</t>
        </is>
      </c>
      <c r="T60" s="91" t="n"/>
      <c r="U60" s="86" t="n"/>
      <c r="V60" s="86" t="n"/>
      <c r="W60" s="2" t="n"/>
      <c r="X60" s="87" t="n"/>
    </row>
    <row r="61">
      <c r="A61" s="78" t="n"/>
      <c r="B61" s="79" t="n"/>
      <c r="C61" s="79" t="n"/>
      <c r="D61" s="79" t="n"/>
      <c r="E61" s="2" t="n"/>
      <c r="F61" s="2" t="n"/>
      <c r="L61" s="1" t="n"/>
      <c r="M61" s="2" t="n"/>
      <c r="N61" s="2" t="n"/>
      <c r="O61" s="2" t="n"/>
      <c r="P61" s="2" t="n"/>
      <c r="Q61" s="2" t="n"/>
      <c r="R61" s="2" t="n"/>
      <c r="S61" s="1" t="inlineStr">
        <is>
          <t>MSOLPROD:Oracle:Medellin Solidaria:ZEUS4</t>
        </is>
      </c>
      <c r="T61" s="91" t="n"/>
      <c r="U61" s="86" t="n"/>
      <c r="V61" s="86" t="n"/>
      <c r="W61" s="2" t="n"/>
      <c r="X61" s="87" t="n"/>
    </row>
    <row r="62">
      <c r="A62" s="4" t="n"/>
      <c r="B62" s="65" t="n"/>
      <c r="C62" s="65" t="n"/>
      <c r="D62" s="65" t="n"/>
      <c r="E62" s="2" t="n"/>
      <c r="F62" s="2" t="n"/>
      <c r="L62" s="1" t="n"/>
      <c r="M62" s="2" t="n"/>
      <c r="N62" s="2" t="n"/>
      <c r="O62" s="2" t="n"/>
      <c r="P62" s="2" t="n"/>
      <c r="Q62" s="2" t="n"/>
      <c r="R62" s="2" t="n"/>
      <c r="S62" s="1" t="inlineStr">
        <is>
          <t>DBFrameWork10:SQL:: TAURO</t>
        </is>
      </c>
      <c r="T62" s="91" t="n"/>
      <c r="U62" s="86" t="n"/>
      <c r="V62" s="86" t="n"/>
      <c r="W62" s="2" t="n"/>
      <c r="X62" s="87" t="n"/>
    </row>
    <row r="63">
      <c r="A63" s="4" t="n"/>
      <c r="B63" s="65" t="n"/>
      <c r="C63" s="65" t="n"/>
      <c r="D63" s="65" t="n"/>
      <c r="E63" s="2" t="n"/>
      <c r="F63" s="2" t="n"/>
      <c r="L63" s="1" t="n"/>
      <c r="M63" s="2" t="n"/>
      <c r="N63" s="2" t="n"/>
      <c r="O63" s="2" t="n"/>
      <c r="P63" s="2" t="n"/>
      <c r="Q63" s="2" t="n"/>
      <c r="R63" s="2" t="n"/>
      <c r="S63" s="1" t="inlineStr">
        <is>
          <t>CatastroEne2012:SQL:Historicos Gicat: TAURO</t>
        </is>
      </c>
      <c r="T63" s="91" t="n"/>
      <c r="U63" s="86" t="n"/>
      <c r="V63" s="86" t="n"/>
      <c r="W63" s="2" t="n"/>
      <c r="X63" s="87" t="n"/>
    </row>
    <row r="64">
      <c r="A64" s="4" t="n"/>
      <c r="B64" s="65" t="n"/>
      <c r="C64" s="65" t="n"/>
      <c r="D64" s="65" t="n"/>
      <c r="E64" s="2" t="n"/>
      <c r="F64" s="2" t="n"/>
      <c r="L64" s="1" t="n"/>
      <c r="M64" s="2" t="n"/>
      <c r="N64" s="2" t="n"/>
      <c r="O64" s="2" t="n"/>
      <c r="P64" s="2" t="n"/>
      <c r="Q64" s="2" t="n"/>
      <c r="R64" s="2" t="n"/>
      <c r="S64" s="1" t="inlineStr">
        <is>
          <t>CatastroEne2007:SQL:Historicos Gicat: TAURO</t>
        </is>
      </c>
      <c r="T64" s="91" t="n"/>
      <c r="U64" s="86" t="n"/>
      <c r="V64" s="86" t="n"/>
      <c r="W64" s="2" t="n"/>
      <c r="X64" s="87" t="n"/>
    </row>
    <row r="65">
      <c r="A65" s="4" t="n"/>
      <c r="B65" s="65" t="n"/>
      <c r="C65" s="65" t="n"/>
      <c r="D65" s="65" t="n"/>
      <c r="E65" s="2" t="n"/>
      <c r="F65" s="2" t="n"/>
      <c r="L65" s="1" t="n"/>
      <c r="M65" s="2" t="n"/>
      <c r="N65" s="2" t="n"/>
      <c r="O65" s="2" t="n"/>
      <c r="P65" s="2" t="n"/>
      <c r="Q65" s="2" t="n"/>
      <c r="R65" s="2" t="n"/>
      <c r="S65" s="1" t="inlineStr">
        <is>
          <t>BASCULA:Oracle:Basculas Secretaria de Infraestructura:ORDB</t>
        </is>
      </c>
      <c r="T65" s="91" t="n"/>
      <c r="U65" s="86" t="n"/>
      <c r="V65" s="86" t="n"/>
      <c r="W65" s="2" t="n"/>
      <c r="X65" s="87" t="n"/>
    </row>
    <row r="66">
      <c r="A66" s="4" t="n"/>
      <c r="B66" s="65" t="n"/>
      <c r="C66" s="65" t="n"/>
      <c r="D66" s="65" t="n"/>
      <c r="E66" s="2" t="n"/>
      <c r="F66" s="2" t="n"/>
      <c r="L66" s="1" t="n"/>
      <c r="M66" s="2" t="n"/>
      <c r="N66" s="2" t="n"/>
      <c r="O66" s="2" t="n"/>
      <c r="P66" s="2" t="n"/>
      <c r="Q66" s="2" t="n"/>
      <c r="R66" s="2" t="n"/>
      <c r="S66" s="1" t="inlineStr">
        <is>
          <t>HDA2:Oracle:Manejo de Presuspuesto y Tesoreria Historico:ALFA</t>
        </is>
      </c>
      <c r="T66" s="91" t="n"/>
      <c r="U66" s="86" t="n"/>
      <c r="V66" s="86" t="n"/>
      <c r="W66" s="2" t="n"/>
      <c r="X66" s="87" t="n"/>
    </row>
    <row r="67">
      <c r="A67" s="4" t="n"/>
      <c r="B67" s="65" t="n"/>
      <c r="C67" s="65" t="n"/>
      <c r="D67" s="65" t="n"/>
      <c r="E67" s="2" t="n"/>
      <c r="F67" s="2" t="n"/>
      <c r="L67" s="1" t="n"/>
      <c r="M67" s="2" t="n"/>
      <c r="N67" s="2" t="n"/>
      <c r="O67" s="2" t="n"/>
      <c r="P67" s="2" t="n"/>
      <c r="Q67" s="2" t="n"/>
      <c r="R67" s="2" t="n"/>
      <c r="S67" s="1" t="inlineStr">
        <is>
          <t>MSDB1:SQL:Aplicación Mainsaver: TAURO</t>
        </is>
      </c>
      <c r="T67" s="91" t="n"/>
      <c r="U67" s="86" t="n"/>
      <c r="V67" s="86" t="n"/>
      <c r="W67" s="2" t="n"/>
      <c r="X67" s="87" t="n"/>
    </row>
    <row r="68">
      <c r="A68" s="7" t="n"/>
      <c r="B68" s="23" t="n"/>
      <c r="C68" s="23" t="n"/>
      <c r="D68" s="23" t="n"/>
      <c r="E68" s="2" t="n"/>
      <c r="F68" s="2" t="n"/>
      <c r="L68" s="1" t="n"/>
      <c r="M68" s="2" t="n"/>
      <c r="N68" s="2" t="n"/>
      <c r="O68" s="2" t="n"/>
      <c r="P68" s="2" t="n"/>
      <c r="Q68" s="2" t="n"/>
      <c r="R68" s="2" t="n"/>
      <c r="S68" s="1" t="inlineStr">
        <is>
          <t>CAMARA:SQL:Campañas Portal: TAURO</t>
        </is>
      </c>
      <c r="T68" s="91" t="n"/>
      <c r="U68" s="86" t="n"/>
      <c r="V68" s="86" t="n"/>
      <c r="W68" s="2" t="n"/>
      <c r="X68" s="87" t="n"/>
    </row>
    <row r="69">
      <c r="A69" s="4" t="n"/>
      <c r="B69" s="65" t="n"/>
      <c r="C69" s="65" t="n"/>
      <c r="D69" s="65" t="n"/>
      <c r="E69" s="2" t="n"/>
      <c r="F69" s="2" t="n"/>
      <c r="L69" s="1" t="n"/>
      <c r="M69" s="2" t="n"/>
      <c r="N69" s="2" t="n"/>
      <c r="O69" s="2" t="n"/>
      <c r="P69" s="2" t="n"/>
      <c r="Q69" s="2" t="n"/>
      <c r="R69" s="2" t="n"/>
      <c r="S69" s="1" t="inlineStr">
        <is>
          <t>MANT:Oracle:Mantenimiento de Obras:SIGMA</t>
        </is>
      </c>
      <c r="T69" s="91" t="n"/>
      <c r="U69" s="86" t="n"/>
      <c r="V69" s="86" t="n"/>
      <c r="W69" s="2" t="n"/>
      <c r="X69" s="87" t="n"/>
    </row>
    <row r="70">
      <c r="A70" s="4" t="n"/>
      <c r="B70" s="65" t="n"/>
      <c r="C70" s="65" t="n"/>
      <c r="D70" s="65" t="n"/>
      <c r="E70" s="2" t="n"/>
      <c r="F70" s="2" t="n"/>
      <c r="L70" s="1" t="n"/>
      <c r="M70" s="2" t="n"/>
      <c r="N70" s="2" t="n"/>
      <c r="O70" s="2" t="n"/>
      <c r="P70" s="2" t="n"/>
      <c r="Q70" s="2" t="n"/>
      <c r="R70" s="2" t="n"/>
      <c r="S70" s="1" t="inlineStr">
        <is>
          <t>Catastro2005:SQL:Historicos Gicat: TAURO</t>
        </is>
      </c>
      <c r="T70" s="91" t="n"/>
      <c r="U70" s="86" t="n"/>
      <c r="V70" s="86" t="n"/>
      <c r="W70" s="2" t="n"/>
      <c r="X70" s="87" t="n"/>
    </row>
    <row r="71">
      <c r="A71" s="4" t="n"/>
      <c r="B71" s="65" t="n"/>
      <c r="C71" s="65" t="n"/>
      <c r="D71" s="65" t="n"/>
      <c r="E71" s="2" t="n"/>
      <c r="F71" s="2" t="n"/>
      <c r="L71" s="1" t="n"/>
      <c r="M71" s="2" t="n"/>
      <c r="N71" s="2" t="n"/>
      <c r="O71" s="2" t="n"/>
      <c r="P71" s="2" t="n"/>
      <c r="Q71" s="2" t="n"/>
      <c r="R71" s="2" t="n"/>
      <c r="S71" s="1" t="inlineStr">
        <is>
          <t>DBSOP:Oracle:Sistema de  Gestion de Malla Vial:ICARUS</t>
        </is>
      </c>
      <c r="T71" s="91" t="n"/>
      <c r="U71" s="86" t="n"/>
      <c r="V71" s="86" t="n"/>
      <c r="W71" s="2" t="n"/>
      <c r="X71" s="87" t="n"/>
    </row>
    <row r="72">
      <c r="A72" s="4" t="n"/>
      <c r="B72" s="65" t="n"/>
      <c r="C72" s="65" t="n"/>
      <c r="D72" s="65" t="n"/>
      <c r="E72" s="2" t="n"/>
      <c r="F72" s="2" t="n"/>
      <c r="L72" s="1" t="n"/>
      <c r="M72" s="2" t="n"/>
      <c r="N72" s="2" t="n"/>
      <c r="O72" s="2" t="n"/>
      <c r="P72" s="2" t="n"/>
      <c r="Q72" s="2" t="n"/>
      <c r="R72" s="2" t="n"/>
      <c r="S72" s="1" t="inlineStr">
        <is>
          <t>censo:SQL:catastro Gicat: TAURO</t>
        </is>
      </c>
      <c r="T72" s="91" t="n"/>
      <c r="U72" s="86" t="n"/>
      <c r="V72" s="86" t="n"/>
      <c r="W72" s="2" t="n"/>
      <c r="X72" s="87" t="n"/>
    </row>
    <row r="73">
      <c r="A73" s="78" t="n"/>
      <c r="B73" s="79" t="n"/>
      <c r="C73" s="79" t="n"/>
      <c r="D73" s="79" t="n"/>
      <c r="E73" s="2" t="n"/>
      <c r="F73" s="2" t="n"/>
      <c r="L73" s="1" t="n"/>
      <c r="M73" s="2" t="n"/>
      <c r="N73" s="2" t="n"/>
      <c r="O73" s="2" t="n"/>
      <c r="P73" s="2" t="n"/>
      <c r="Q73" s="2" t="n"/>
      <c r="R73" s="2" t="n"/>
      <c r="S73" s="1" t="inlineStr">
        <is>
          <t>Catastro2008:SQL:Historicos Gicat: TAURO</t>
        </is>
      </c>
      <c r="T73" s="91" t="n"/>
      <c r="U73" s="86" t="n"/>
      <c r="V73" s="86" t="n"/>
      <c r="W73" s="2" t="n"/>
      <c r="X73" s="87" t="n"/>
    </row>
    <row r="74">
      <c r="A74" s="4" t="n"/>
      <c r="B74" s="65" t="n"/>
      <c r="C74" s="65" t="n"/>
      <c r="D74" s="65" t="n"/>
      <c r="E74" s="2" t="n"/>
      <c r="F74" s="2" t="n"/>
      <c r="L74" s="1" t="n"/>
      <c r="M74" s="2" t="n"/>
      <c r="N74" s="2" t="n"/>
      <c r="O74" s="2" t="n"/>
      <c r="P74" s="2" t="n"/>
      <c r="Q74" s="2" t="n"/>
      <c r="R74" s="2" t="n"/>
      <c r="S74" s="1" t="inlineStr">
        <is>
          <t>Catastro2009:SQL:Historicos Gicat: TAURO</t>
        </is>
      </c>
      <c r="T74" s="91" t="n"/>
      <c r="U74" s="86" t="n"/>
      <c r="V74" s="86" t="n"/>
      <c r="W74" s="2" t="n"/>
      <c r="X74" s="87" t="n"/>
    </row>
    <row r="75">
      <c r="A75" s="7" t="n"/>
      <c r="B75" s="23" t="n"/>
      <c r="C75" s="23" t="n"/>
      <c r="D75" s="23" t="n"/>
      <c r="E75" s="2" t="n"/>
      <c r="F75" s="2" t="n"/>
      <c r="L75" s="1" t="n"/>
      <c r="M75" s="2" t="n"/>
      <c r="N75" s="2" t="n"/>
      <c r="O75" s="2" t="n"/>
      <c r="P75" s="2" t="n"/>
      <c r="Q75" s="2" t="n"/>
      <c r="R75" s="2" t="n"/>
      <c r="S75" s="1" t="inlineStr">
        <is>
          <t>Catastro2007:SQL:Historicos Gicat: TAURO</t>
        </is>
      </c>
      <c r="T75" s="91" t="n"/>
      <c r="U75" s="86" t="n"/>
      <c r="V75" s="86" t="n"/>
      <c r="W75" s="2" t="n"/>
      <c r="X75" s="87" t="n"/>
    </row>
    <row r="76">
      <c r="A76" s="7" t="n"/>
      <c r="B76" s="23" t="n"/>
      <c r="C76" s="23" t="n"/>
      <c r="D76" s="23" t="n"/>
      <c r="E76" s="2" t="n"/>
      <c r="F76" s="2" t="n"/>
      <c r="L76" s="1" t="n"/>
      <c r="M76" s="2" t="n"/>
      <c r="N76" s="2" t="n"/>
      <c r="O76" s="2" t="n"/>
      <c r="P76" s="2" t="n"/>
      <c r="Q76" s="2" t="n"/>
      <c r="R76" s="2" t="n"/>
      <c r="S76" s="1" t="inlineStr">
        <is>
          <t>BDParqueadero:SQL:Transito: TAURO</t>
        </is>
      </c>
      <c r="T76" s="91" t="n"/>
      <c r="U76" s="86" t="n"/>
      <c r="V76" s="86" t="n"/>
      <c r="W76" s="2" t="n"/>
      <c r="X76" s="87" t="n"/>
    </row>
    <row r="77">
      <c r="A77" s="7" t="n"/>
      <c r="B77" s="23" t="n"/>
      <c r="C77" s="23" t="n"/>
      <c r="D77" s="23" t="n"/>
      <c r="E77" s="2" t="n"/>
      <c r="F77" s="2" t="n"/>
      <c r="L77" s="1" t="n"/>
      <c r="M77" s="2" t="n"/>
      <c r="N77" s="2" t="n"/>
      <c r="O77" s="2" t="n"/>
      <c r="P77" s="2" t="n"/>
      <c r="Q77" s="2" t="n"/>
      <c r="R77" s="2" t="n"/>
      <c r="S77" s="1" t="inlineStr">
        <is>
          <t>SICOFBCOM:Oracle:Sicof Buen Comienzo:SIGMA</t>
        </is>
      </c>
      <c r="T77" s="91" t="n"/>
      <c r="U77" s="86" t="n"/>
      <c r="V77" s="86" t="n"/>
      <c r="W77" s="2" t="n"/>
      <c r="X77" s="87" t="n"/>
    </row>
    <row r="78">
      <c r="A78" s="7" t="n"/>
      <c r="B78" s="23" t="n"/>
      <c r="C78" s="23" t="n"/>
      <c r="D78" s="23" t="n"/>
      <c r="E78" s="2" t="n"/>
      <c r="F78" s="2" t="n"/>
      <c r="L78" s="1" t="n"/>
      <c r="M78" s="2" t="n"/>
      <c r="N78" s="2" t="n"/>
      <c r="O78" s="2" t="n"/>
      <c r="P78" s="2" t="n"/>
      <c r="Q78" s="2" t="n"/>
      <c r="R78" s="2" t="n"/>
      <c r="S78" s="1" t="inlineStr">
        <is>
          <t>Catastro2010:SQL:Historicos Gicat: TAURO</t>
        </is>
      </c>
      <c r="T78" s="91" t="n"/>
      <c r="U78" s="86" t="n"/>
      <c r="V78" s="86" t="n"/>
      <c r="W78" s="2" t="n"/>
      <c r="X78" s="87" t="n"/>
    </row>
    <row r="79">
      <c r="A79" s="7" t="n"/>
      <c r="B79" s="23" t="n"/>
      <c r="C79" s="23" t="n"/>
      <c r="D79" s="23" t="n"/>
      <c r="E79" s="2" t="n"/>
      <c r="F79" s="2" t="n"/>
      <c r="L79" s="1" t="n"/>
      <c r="M79" s="2" t="n"/>
      <c r="N79" s="2" t="n"/>
      <c r="O79" s="2" t="n"/>
      <c r="P79" s="2" t="n"/>
      <c r="Q79" s="2" t="n"/>
      <c r="R79" s="2" t="n"/>
      <c r="S79" s="1" t="inlineStr">
        <is>
          <t>express_prd:SQL:Portales: TAURO</t>
        </is>
      </c>
      <c r="T79" s="91" t="n"/>
      <c r="U79" s="86" t="n"/>
      <c r="V79" s="86" t="n"/>
      <c r="W79" s="2" t="n"/>
      <c r="X79" s="87" t="n"/>
    </row>
    <row r="80">
      <c r="A80" s="7" t="n"/>
      <c r="B80" s="23" t="n"/>
      <c r="C80" s="23" t="n"/>
      <c r="D80" s="23" t="n"/>
      <c r="E80" s="2" t="n"/>
      <c r="F80" s="2" t="n"/>
      <c r="G80" s="2" t="n"/>
      <c r="H80" s="2" t="n"/>
      <c r="I80" s="2" t="n"/>
      <c r="J80" s="2" t="n"/>
      <c r="L80" s="1" t="n"/>
      <c r="M80" s="2" t="n"/>
      <c r="N80" s="2" t="n"/>
      <c r="O80" s="2" t="n"/>
      <c r="P80" s="2" t="n"/>
      <c r="Q80" s="2" t="n"/>
      <c r="R80" s="2" t="n"/>
      <c r="S80" s="1" t="inlineStr">
        <is>
          <t>EstadisticasVitales:SQL:Aplicación secretaria de salud: TAURO</t>
        </is>
      </c>
      <c r="T80" s="91" t="n"/>
      <c r="U80" s="86" t="n"/>
      <c r="V80" s="86" t="n"/>
      <c r="W80" s="2" t="n"/>
      <c r="X80" s="87" t="n"/>
    </row>
    <row r="81">
      <c r="A81" s="7" t="n"/>
      <c r="B81" s="23" t="n"/>
      <c r="C81" s="23" t="n"/>
      <c r="D81" s="23" t="n"/>
      <c r="E81" s="2" t="n"/>
      <c r="F81" s="2" t="n"/>
      <c r="L81" s="1" t="n"/>
      <c r="M81" s="2" t="n"/>
      <c r="N81" s="2" t="n"/>
      <c r="O81" s="2" t="n"/>
      <c r="P81" s="2" t="n"/>
      <c r="Q81" s="2" t="n"/>
      <c r="R81" s="2" t="n"/>
      <c r="S81" s="1" t="inlineStr">
        <is>
          <t>BIEN:Oracle:Administracion Bienes Mubles:ALFA</t>
        </is>
      </c>
      <c r="T81" s="91" t="n"/>
      <c r="U81" s="86" t="n"/>
      <c r="V81" s="86" t="n"/>
      <c r="W81" s="2" t="n"/>
      <c r="X81" s="87" t="n"/>
    </row>
    <row r="82">
      <c r="A82" s="7" t="n"/>
      <c r="B82" s="23" t="n"/>
      <c r="C82" s="23" t="n"/>
      <c r="D82" s="23" t="n"/>
      <c r="E82" s="2" t="n"/>
      <c r="F82" s="2" t="n"/>
      <c r="G82" s="2" t="n"/>
      <c r="H82" s="2" t="n"/>
      <c r="I82" s="2" t="n"/>
      <c r="J82" s="2" t="n"/>
      <c r="L82" s="1" t="n"/>
      <c r="M82" s="2" t="n"/>
      <c r="N82" s="2" t="n"/>
      <c r="O82" s="2" t="n"/>
      <c r="P82" s="2" t="n"/>
      <c r="Q82" s="2" t="n"/>
      <c r="R82" s="2" t="n"/>
      <c r="S82" s="1" t="inlineStr">
        <is>
          <t>DBTimeSoftNet:SQL:Ingreso Transito de medellin: TAURO</t>
        </is>
      </c>
      <c r="T82" s="91" t="n"/>
      <c r="U82" s="86" t="n"/>
      <c r="V82" s="86" t="n"/>
      <c r="W82" s="2" t="n"/>
      <c r="X82" s="87" t="n"/>
    </row>
    <row r="83">
      <c r="A83" s="7" t="n"/>
      <c r="B83" s="23" t="n"/>
      <c r="C83" s="23" t="n"/>
      <c r="D83" s="23" t="n"/>
      <c r="E83" s="2" t="n"/>
      <c r="F83" s="2" t="n"/>
      <c r="L83" s="1" t="n"/>
      <c r="M83" s="2" t="n"/>
      <c r="N83" s="2" t="n"/>
      <c r="O83" s="2" t="n"/>
      <c r="P83" s="2" t="n"/>
      <c r="Q83" s="2" t="n"/>
      <c r="R83" s="2" t="n"/>
      <c r="S83" s="1" t="inlineStr">
        <is>
          <t>CatastroEne2008:SQL:Historicos Gicat: TAURO</t>
        </is>
      </c>
      <c r="T83" s="91" t="n"/>
      <c r="U83" s="86" t="n"/>
      <c r="V83" s="86" t="n"/>
      <c r="W83" s="2" t="n"/>
      <c r="X83" s="87" t="n"/>
    </row>
    <row r="84">
      <c r="A84" s="7" t="n"/>
      <c r="B84" s="23" t="n"/>
      <c r="C84" s="23" t="n"/>
      <c r="D84" s="23" t="n"/>
      <c r="E84" s="2" t="n"/>
      <c r="F84" s="2" t="n"/>
      <c r="L84" s="1" t="n"/>
      <c r="M84" s="2" t="n"/>
      <c r="N84" s="2" t="n"/>
      <c r="O84" s="2" t="n"/>
      <c r="P84" s="2" t="n"/>
      <c r="Q84" s="2" t="n"/>
      <c r="R84" s="2" t="n"/>
      <c r="S84" s="1" t="inlineStr">
        <is>
          <t>CatastroEne2010:SQL:Historicos Gicat: TAURO</t>
        </is>
      </c>
      <c r="T84" s="91" t="n"/>
      <c r="U84" s="86" t="n"/>
      <c r="V84" s="86" t="n"/>
      <c r="W84" s="2" t="n"/>
      <c r="X84" s="87" t="n"/>
    </row>
    <row r="85">
      <c r="A85" s="7" t="n"/>
      <c r="B85" s="23" t="n"/>
      <c r="C85" s="23" t="n"/>
      <c r="D85" s="23" t="n"/>
      <c r="E85" s="2" t="n"/>
      <c r="F85" s="2" t="n"/>
      <c r="L85" s="1" t="n"/>
      <c r="M85" s="2" t="n"/>
      <c r="N85" s="2" t="n"/>
      <c r="O85" s="2" t="n"/>
      <c r="P85" s="2" t="n"/>
      <c r="Q85" s="2" t="n"/>
      <c r="R85" s="2" t="n"/>
      <c r="S85" s="1" t="inlineStr">
        <is>
          <t>CatastroEstadisticas:SQL:Historicos Gicat: TAURO</t>
        </is>
      </c>
      <c r="T85" s="91" t="n"/>
      <c r="U85" s="86" t="n"/>
      <c r="V85" s="86" t="n"/>
      <c r="W85" s="2" t="n"/>
      <c r="X85" s="87" t="n"/>
    </row>
    <row r="86">
      <c r="A86" s="7" t="n"/>
      <c r="B86" s="23" t="n"/>
      <c r="C86" s="23" t="n"/>
      <c r="D86" s="23" t="n"/>
      <c r="E86" s="2" t="n"/>
      <c r="F86" s="2" t="n"/>
      <c r="L86" s="1" t="n"/>
      <c r="M86" s="2" t="n"/>
      <c r="N86" s="2" t="n"/>
      <c r="O86" s="2" t="n"/>
      <c r="P86" s="2" t="n"/>
      <c r="Q86" s="2" t="n"/>
      <c r="R86" s="2" t="n"/>
      <c r="S86" s="1" t="inlineStr">
        <is>
          <t>BD_ANOREXIBULIMIA:SQL:campaña Anorexia: TAURO</t>
        </is>
      </c>
      <c r="T86" s="91" t="n"/>
      <c r="U86" s="86" t="n"/>
      <c r="V86" s="86" t="n"/>
      <c r="W86" s="2" t="n"/>
      <c r="X86" s="87" t="n"/>
    </row>
    <row r="87">
      <c r="A87" s="2" t="n"/>
      <c r="B87" s="21" t="n"/>
      <c r="C87" s="21" t="n"/>
      <c r="D87" s="21" t="n"/>
      <c r="E87" s="2" t="n"/>
      <c r="F87" s="2" t="n"/>
      <c r="G87" s="2" t="n"/>
      <c r="H87" s="2" t="n"/>
      <c r="I87" s="2" t="n"/>
      <c r="J87" s="2" t="n"/>
      <c r="L87" s="1" t="n"/>
      <c r="M87" s="2" t="n"/>
      <c r="N87" s="2" t="n"/>
      <c r="O87" s="2" t="n"/>
      <c r="P87" s="2" t="n"/>
      <c r="Q87" s="2" t="n"/>
      <c r="R87" s="2" t="n"/>
      <c r="S87" s="1" t="inlineStr">
        <is>
          <t>CatastroEne2013:SQL:Historicos Gicat: TAURO</t>
        </is>
      </c>
      <c r="T87" s="91" t="n"/>
      <c r="U87" s="86" t="n"/>
      <c r="V87" s="86" t="n"/>
      <c r="W87" s="2" t="n"/>
      <c r="X87" s="87" t="n"/>
    </row>
    <row r="88">
      <c r="A88" s="2" t="n"/>
      <c r="B88" s="21" t="n"/>
      <c r="C88" s="21" t="n"/>
      <c r="D88" s="21" t="n"/>
      <c r="E88" s="2" t="n"/>
      <c r="F88" s="2" t="n"/>
      <c r="L88" s="1" t="n"/>
      <c r="M88" s="2" t="n"/>
      <c r="N88" s="2" t="n"/>
      <c r="O88" s="2" t="n"/>
      <c r="P88" s="2" t="n"/>
      <c r="Q88" s="2" t="n"/>
      <c r="R88" s="2" t="n"/>
      <c r="S88" s="1" t="inlineStr">
        <is>
          <t>Catastro2006:SQL:Historicos Gicat: TAURO</t>
        </is>
      </c>
      <c r="T88" s="91" t="n"/>
      <c r="U88" s="86" t="n"/>
      <c r="V88" s="86" t="n"/>
      <c r="W88" s="2" t="n"/>
      <c r="X88" s="87" t="n"/>
    </row>
    <row r="89">
      <c r="A89" s="7" t="n"/>
      <c r="B89" s="23" t="n"/>
      <c r="C89" s="23" t="n"/>
      <c r="D89" s="23" t="n"/>
      <c r="E89" s="2" t="n"/>
      <c r="F89" s="2" t="n"/>
      <c r="L89" s="1" t="n"/>
      <c r="M89" s="2" t="n"/>
      <c r="N89" s="2" t="n"/>
      <c r="O89" s="2" t="n"/>
      <c r="P89" s="2" t="n"/>
      <c r="Q89" s="2" t="n"/>
      <c r="R89" s="2" t="n"/>
      <c r="S89" s="1" t="inlineStr">
        <is>
          <t>GISCATH:Oracle:Consolidacion historico Geografico (Giscatm) :ZEUS4</t>
        </is>
      </c>
      <c r="T89" s="91" t="n"/>
      <c r="U89" s="86" t="n"/>
      <c r="V89" s="86" t="n"/>
      <c r="W89" s="2" t="n"/>
      <c r="X89" s="87" t="n"/>
    </row>
    <row r="90">
      <c r="A90" s="78" t="n"/>
      <c r="B90" s="79" t="n"/>
      <c r="C90" s="79" t="n"/>
      <c r="D90" s="79" t="n"/>
      <c r="E90" s="2" t="n"/>
      <c r="F90" s="2" t="n"/>
      <c r="L90" s="1" t="n"/>
      <c r="M90" s="2" t="n"/>
      <c r="N90" s="2" t="n"/>
      <c r="O90" s="2" t="n"/>
      <c r="P90" s="2" t="n"/>
      <c r="Q90" s="2" t="n"/>
      <c r="R90" s="2" t="n"/>
      <c r="S90" s="1" t="inlineStr">
        <is>
          <t>Catastro2011:SQL:Historicos Gicat: TAURO</t>
        </is>
      </c>
      <c r="T90" s="91" t="n"/>
      <c r="U90" s="86" t="n"/>
      <c r="V90" s="86" t="n"/>
      <c r="W90" s="2" t="n"/>
      <c r="X90" s="87" t="n"/>
    </row>
    <row r="91">
      <c r="A91" s="2" t="n"/>
      <c r="B91" s="21" t="n"/>
      <c r="C91" s="21" t="n"/>
      <c r="D91" s="21" t="n"/>
      <c r="E91" s="2" t="n"/>
      <c r="F91" s="2" t="n"/>
      <c r="L91" s="1" t="n"/>
      <c r="M91" s="2" t="n"/>
      <c r="N91" s="2" t="n"/>
      <c r="O91" s="2" t="n"/>
      <c r="P91" s="2" t="n"/>
      <c r="Q91" s="2" t="n"/>
      <c r="R91" s="2" t="n"/>
      <c r="S91" s="1" t="inlineStr">
        <is>
          <t>ARANDA:Oracle:Aranda Service Desk:ZEUS4</t>
        </is>
      </c>
      <c r="T91" s="91" t="n"/>
      <c r="U91" s="86" t="n"/>
      <c r="V91" s="86" t="n"/>
      <c r="W91" s="2" t="n"/>
      <c r="X91" s="87" t="n"/>
    </row>
    <row r="92">
      <c r="A92" s="78" t="n"/>
      <c r="B92" s="79" t="n"/>
      <c r="C92" s="79" t="n"/>
      <c r="D92" s="79" t="n"/>
      <c r="E92" s="2" t="n"/>
      <c r="F92" s="2" t="n"/>
      <c r="L92" s="1" t="n"/>
      <c r="M92" s="2" t="n"/>
      <c r="N92" s="2" t="n"/>
      <c r="O92" s="2" t="n"/>
      <c r="P92" s="2" t="n"/>
      <c r="Q92" s="2" t="n"/>
      <c r="R92" s="2" t="n"/>
      <c r="S92" s="1" t="inlineStr">
        <is>
          <t>MTRAM:Oracle:Mercurio Tramites:ORDB</t>
        </is>
      </c>
      <c r="T92" s="91" t="n"/>
      <c r="U92" s="86" t="n"/>
      <c r="V92" s="86" t="n"/>
      <c r="W92" s="2" t="n"/>
      <c r="X92" s="87" t="n"/>
    </row>
    <row r="93">
      <c r="A93" s="4" t="n"/>
      <c r="B93" s="65" t="n"/>
      <c r="C93" s="65" t="n"/>
      <c r="D93" s="65" t="n"/>
      <c r="E93" s="2" t="n"/>
      <c r="F93" s="2" t="n"/>
      <c r="L93" s="1" t="n"/>
      <c r="M93" s="2" t="n"/>
      <c r="N93" s="2" t="n"/>
      <c r="O93" s="2" t="n"/>
      <c r="P93" s="2" t="n"/>
      <c r="Q93" s="2" t="n"/>
      <c r="R93" s="2" t="n"/>
      <c r="S93" s="1" t="inlineStr">
        <is>
          <t>SIMPAD:Oracle:Sistema Siedes:ICARUS</t>
        </is>
      </c>
      <c r="T93" s="91" t="n"/>
      <c r="U93" s="86" t="n"/>
      <c r="V93" s="86" t="n"/>
      <c r="W93" s="2" t="n"/>
      <c r="X93" s="87" t="n"/>
    </row>
    <row r="94">
      <c r="A94" s="2" t="n"/>
      <c r="B94" s="21" t="n"/>
      <c r="C94" s="21" t="n"/>
      <c r="D94" s="21" t="n"/>
      <c r="E94" s="2" t="n"/>
      <c r="F94" s="2" t="n"/>
      <c r="L94" s="1" t="n"/>
      <c r="M94" s="2" t="n"/>
      <c r="N94" s="2" t="n"/>
      <c r="O94" s="2" t="n"/>
      <c r="P94" s="2" t="n"/>
      <c r="Q94" s="2" t="n"/>
      <c r="R94" s="2" t="n"/>
      <c r="S94" s="1" t="inlineStr">
        <is>
          <t>SecSalud195:SQL:Aplicación Secsalud- Metrosalud: TAURO</t>
        </is>
      </c>
      <c r="T94" s="91" t="n"/>
      <c r="U94" s="86" t="n"/>
      <c r="V94" s="86" t="n"/>
      <c r="W94" s="2" t="n"/>
      <c r="X94" s="87" t="n"/>
    </row>
    <row r="95">
      <c r="A95" s="2" t="n"/>
      <c r="B95" s="21" t="n"/>
      <c r="C95" s="21" t="n"/>
      <c r="D95" s="21" t="n"/>
      <c r="E95" s="2" t="n"/>
      <c r="F95" s="2" t="n"/>
      <c r="L95" s="1" t="n"/>
      <c r="M95" s="2" t="n"/>
      <c r="N95" s="2" t="n"/>
      <c r="O95" s="2" t="n"/>
      <c r="P95" s="2" t="n"/>
      <c r="Q95" s="2" t="n"/>
      <c r="R95" s="2" t="n"/>
      <c r="S95" s="1" t="inlineStr">
        <is>
          <t>IBM1:Oracle:Historico del Ibm:ALFA</t>
        </is>
      </c>
      <c r="T95" s="91" t="n"/>
      <c r="U95" s="86" t="n"/>
      <c r="V95" s="86" t="n"/>
      <c r="W95" s="2" t="n"/>
      <c r="X95" s="87" t="n"/>
    </row>
    <row r="96">
      <c r="A96" s="4" t="n"/>
      <c r="B96" s="65" t="n"/>
      <c r="C96" s="65" t="n"/>
      <c r="D96" s="65" t="n"/>
      <c r="E96" s="2" t="n"/>
      <c r="F96" s="2" t="n"/>
      <c r="L96" s="1" t="n"/>
      <c r="M96" s="2" t="n"/>
      <c r="N96" s="2" t="n"/>
      <c r="O96" s="2" t="n"/>
      <c r="P96" s="2" t="n"/>
      <c r="Q96" s="2" t="n"/>
      <c r="R96" s="2" t="n"/>
      <c r="S96" s="1" t="inlineStr">
        <is>
          <t>DBDAP:Oracle:Site- Geocodificador- Mapas Medellin:ZEUS4</t>
        </is>
      </c>
      <c r="T96" s="91" t="n"/>
      <c r="U96" s="86" t="n"/>
      <c r="V96" s="86" t="n"/>
      <c r="W96" s="2" t="n"/>
      <c r="X96" s="87" t="n"/>
    </row>
    <row r="97">
      <c r="A97" s="78" t="n"/>
      <c r="B97" s="79" t="n"/>
      <c r="C97" s="79" t="n"/>
      <c r="D97" s="79" t="n"/>
      <c r="E97" s="2" t="n"/>
      <c r="F97" s="2" t="n"/>
      <c r="L97" s="1" t="n"/>
      <c r="M97" s="2" t="n"/>
      <c r="N97" s="2" t="n"/>
      <c r="O97" s="2" t="n"/>
      <c r="P97" s="2" t="n"/>
      <c r="Q97" s="2" t="n"/>
      <c r="R97" s="2" t="n"/>
      <c r="S97" s="1" t="inlineStr">
        <is>
          <t>ARIS7:Oracle:Sistema de calidad Aris:ORDB</t>
        </is>
      </c>
      <c r="T97" s="91" t="n"/>
      <c r="U97" s="86" t="n"/>
      <c r="V97" s="86" t="n"/>
      <c r="W97" s="2" t="n"/>
      <c r="X97" s="87" t="n"/>
    </row>
    <row r="98">
      <c r="A98" s="4" t="n"/>
      <c r="B98" s="65" t="n"/>
      <c r="C98" s="65" t="n"/>
      <c r="D98" s="65" t="n"/>
      <c r="E98" s="2" t="n"/>
      <c r="F98" s="2" t="n"/>
      <c r="L98" s="1" t="n"/>
      <c r="M98" s="2" t="n"/>
      <c r="N98" s="2" t="n"/>
      <c r="O98" s="2" t="n"/>
      <c r="P98" s="2" t="n"/>
      <c r="Q98" s="2" t="n"/>
      <c r="R98" s="2" t="n"/>
      <c r="S98" s="1" t="inlineStr">
        <is>
          <t>msdb:SQL:Bd sistema: TAURO</t>
        </is>
      </c>
      <c r="T98" s="91" t="n"/>
      <c r="U98" s="86" t="n"/>
      <c r="V98" s="86" t="n"/>
      <c r="W98" s="2" t="n"/>
      <c r="X98" s="87" t="n"/>
    </row>
    <row r="99">
      <c r="A99" s="4" t="n"/>
      <c r="B99" s="65" t="n"/>
      <c r="C99" s="65" t="n"/>
      <c r="D99" s="65" t="n"/>
      <c r="E99" s="2" t="n"/>
      <c r="F99" s="2" t="n"/>
      <c r="L99" s="1" t="n"/>
      <c r="M99" s="2" t="n"/>
      <c r="N99" s="2" t="n"/>
      <c r="O99" s="2" t="n"/>
      <c r="P99" s="2" t="n"/>
      <c r="Q99" s="2" t="n"/>
      <c r="R99" s="2" t="n"/>
      <c r="S99" s="1" t="inlineStr">
        <is>
          <t>CRP:Oracle:Sap Crm:CRM</t>
        </is>
      </c>
      <c r="T99" s="91" t="n"/>
      <c r="U99" s="86" t="n"/>
      <c r="V99" s="86" t="n"/>
      <c r="W99" s="2" t="n"/>
      <c r="X99" s="87" t="n"/>
    </row>
    <row r="100">
      <c r="A100" s="4" t="n"/>
      <c r="B100" s="65" t="n"/>
      <c r="C100" s="65" t="n"/>
      <c r="D100" s="65" t="n"/>
      <c r="E100" s="2" t="n"/>
      <c r="F100" s="2" t="n"/>
      <c r="G100" s="2" t="n"/>
      <c r="H100" s="2" t="n"/>
      <c r="I100" s="2" t="n"/>
      <c r="J100" s="2" t="n"/>
      <c r="L100" s="1" t="n"/>
      <c r="M100" s="2" t="n"/>
      <c r="N100" s="2" t="n"/>
      <c r="O100" s="2" t="n"/>
      <c r="P100" s="2" t="n"/>
      <c r="Q100" s="2" t="n"/>
      <c r="R100" s="2" t="n"/>
      <c r="S100" s="1" t="inlineStr">
        <is>
          <t>cpsdyn:SQL:Link Server: TAURO</t>
        </is>
      </c>
      <c r="T100" s="91" t="n"/>
      <c r="U100" s="86" t="n"/>
      <c r="V100" s="86" t="n"/>
      <c r="W100" s="2" t="n"/>
      <c r="X100" s="87" t="n"/>
    </row>
    <row r="101">
      <c r="A101" s="4" t="n"/>
      <c r="B101" s="65" t="n"/>
      <c r="C101" s="65" t="n"/>
      <c r="D101" s="65" t="n"/>
      <c r="E101" s="2" t="n"/>
      <c r="F101" s="2" t="n"/>
      <c r="L101" s="1" t="n"/>
      <c r="M101" s="2" t="n"/>
      <c r="N101" s="2" t="n"/>
      <c r="O101" s="2" t="n"/>
      <c r="P101" s="2" t="n"/>
      <c r="Q101" s="2" t="n"/>
      <c r="R101" s="2" t="n"/>
      <c r="S101" s="1" t="inlineStr">
        <is>
          <t>Gestion_proyectos_PRD:SQL:Proyectios estrategicos Portales: TAURO</t>
        </is>
      </c>
      <c r="T101" s="91" t="n"/>
      <c r="U101" s="86" t="n"/>
      <c r="V101" s="86" t="n"/>
      <c r="W101" s="2" t="n"/>
      <c r="X101" s="87" t="n"/>
    </row>
    <row r="102">
      <c r="A102" s="4" t="n"/>
      <c r="B102" s="65" t="n"/>
      <c r="C102" s="65" t="n"/>
      <c r="D102" s="65" t="n"/>
      <c r="E102" s="2" t="n"/>
      <c r="F102" s="2" t="n"/>
      <c r="L102" s="1" t="n"/>
      <c r="M102" s="2" t="n"/>
      <c r="N102" s="2" t="n"/>
      <c r="O102" s="2" t="n"/>
      <c r="P102" s="2" t="n"/>
      <c r="Q102" s="2" t="n"/>
      <c r="R102" s="2" t="n"/>
      <c r="S102" s="1" t="inlineStr">
        <is>
          <t>proyectos_estrategicos_ccsap:SQL:Aplicación Portal: TAURO</t>
        </is>
      </c>
      <c r="T102" s="91" t="n"/>
      <c r="U102" s="86" t="n"/>
      <c r="V102" s="86" t="n"/>
      <c r="W102" s="2" t="n"/>
      <c r="X102" s="87" t="n"/>
    </row>
    <row r="103">
      <c r="A103" s="4" t="n"/>
      <c r="B103" s="65" t="n"/>
      <c r="C103" s="65" t="n"/>
      <c r="D103" s="65" t="n"/>
      <c r="E103" s="2" t="n"/>
      <c r="F103" s="2" t="n"/>
      <c r="L103" s="1" t="n"/>
      <c r="M103" s="2" t="n"/>
      <c r="N103" s="2" t="n"/>
      <c r="O103" s="2" t="n"/>
      <c r="P103" s="2" t="n"/>
      <c r="Q103" s="2" t="n"/>
      <c r="R103" s="2" t="n"/>
      <c r="S103" s="1" t="inlineStr">
        <is>
          <t>rgsconfig:SQL:Link Server: TAURO</t>
        </is>
      </c>
      <c r="T103" s="91" t="n"/>
      <c r="U103" s="86" t="n"/>
      <c r="V103" s="86" t="n"/>
      <c r="W103" s="2" t="n"/>
      <c r="X103" s="87" t="n"/>
    </row>
    <row r="104">
      <c r="A104" s="4" t="n"/>
      <c r="B104" s="65" t="n"/>
      <c r="C104" s="65" t="n"/>
      <c r="D104" s="65" t="n"/>
      <c r="E104" s="2" t="n"/>
      <c r="F104" s="2" t="n"/>
      <c r="L104" s="1" t="n"/>
      <c r="M104" s="2" t="n"/>
      <c r="N104" s="2" t="n"/>
      <c r="O104" s="2" t="n"/>
      <c r="P104" s="2" t="n"/>
      <c r="Q104" s="2" t="n"/>
      <c r="R104" s="2" t="n"/>
      <c r="S104" s="1" t="inlineStr">
        <is>
          <t>PC_deposito_db:SQL:Auditorias control interno: TAURO</t>
        </is>
      </c>
      <c r="T104" s="91" t="n"/>
      <c r="U104" s="86" t="n"/>
      <c r="V104" s="86" t="n"/>
      <c r="W104" s="2" t="n"/>
      <c r="X104" s="87" t="n"/>
    </row>
    <row r="105">
      <c r="A105" s="4" t="n"/>
      <c r="B105" s="65" t="n"/>
      <c r="C105" s="65" t="n"/>
      <c r="D105" s="65" t="n"/>
      <c r="E105" s="2" t="n"/>
      <c r="F105" s="2" t="n"/>
      <c r="L105" s="1" t="n"/>
      <c r="M105" s="2" t="n"/>
      <c r="N105" s="2" t="n"/>
      <c r="O105" s="2" t="n"/>
      <c r="P105" s="2" t="n"/>
      <c r="Q105" s="2" t="n"/>
      <c r="R105" s="2" t="n"/>
      <c r="S105" s="1" t="inlineStr">
        <is>
          <t>QoEMetrics:SQL:: TAURO</t>
        </is>
      </c>
      <c r="T105" s="91" t="n"/>
      <c r="U105" s="86" t="n"/>
      <c r="V105" s="86" t="n"/>
      <c r="W105" s="2" t="n"/>
      <c r="X105" s="87" t="n"/>
    </row>
    <row r="106">
      <c r="A106" s="4" t="n"/>
      <c r="B106" s="65" t="n"/>
      <c r="C106" s="65" t="n"/>
      <c r="D106" s="65" t="n"/>
      <c r="E106" s="2" t="n"/>
      <c r="F106" s="2" t="n"/>
      <c r="L106" s="1" t="n"/>
      <c r="M106" s="2" t="n"/>
      <c r="N106" s="2" t="n"/>
      <c r="O106" s="2" t="n"/>
      <c r="P106" s="2" t="n"/>
      <c r="Q106" s="2" t="n"/>
      <c r="R106" s="2" t="n"/>
      <c r="S106" s="1" t="inlineStr">
        <is>
          <t>ReportServer:SQL:Reporting Server: TAURO</t>
        </is>
      </c>
      <c r="T106" s="91" t="n"/>
      <c r="U106" s="86" t="n"/>
      <c r="V106" s="86" t="n"/>
      <c r="W106" s="2" t="n"/>
      <c r="X106" s="87" t="n"/>
    </row>
    <row r="107">
      <c r="A107" s="4" t="n"/>
      <c r="B107" s="65" t="n"/>
      <c r="C107" s="65" t="n"/>
      <c r="D107" s="65" t="n"/>
      <c r="E107" s="2" t="n"/>
      <c r="F107" s="2" t="n"/>
      <c r="L107" s="1" t="n"/>
      <c r="M107" s="2" t="n"/>
      <c r="N107" s="2" t="n"/>
      <c r="O107" s="2" t="n"/>
      <c r="P107" s="2" t="n"/>
      <c r="Q107" s="2" t="n"/>
      <c r="R107" s="2" t="n"/>
      <c r="S107" s="1" t="inlineStr">
        <is>
          <t>ReportServerTempDB:SQL:Reporting Server: TAURO</t>
        </is>
      </c>
      <c r="T107" s="91" t="n"/>
      <c r="U107" s="86" t="n"/>
      <c r="V107" s="86" t="n"/>
      <c r="W107" s="2" t="n"/>
      <c r="X107" s="87" t="n"/>
    </row>
    <row r="108">
      <c r="A108" s="4" t="n"/>
      <c r="B108" s="65" t="n"/>
      <c r="C108" s="65" t="n"/>
      <c r="D108" s="65" t="n"/>
      <c r="E108" s="2" t="n"/>
      <c r="F108" s="2" t="n"/>
      <c r="L108" s="1" t="n"/>
      <c r="M108" s="2" t="n"/>
      <c r="N108" s="2" t="n"/>
      <c r="O108" s="2" t="n"/>
      <c r="P108" s="2" t="n"/>
      <c r="Q108" s="2" t="n"/>
      <c r="R108" s="2" t="n"/>
      <c r="S108" s="1" t="inlineStr">
        <is>
          <t>GEDO:Oracle:Royal Gestion Documental:ZEUS4</t>
        </is>
      </c>
      <c r="T108" s="91" t="n"/>
      <c r="U108" s="86" t="n"/>
      <c r="V108" s="86" t="n"/>
      <c r="W108" s="2" t="n"/>
      <c r="X108" s="87" t="n"/>
    </row>
    <row r="109">
      <c r="A109" s="4" t="n"/>
      <c r="B109" s="65" t="n"/>
      <c r="C109" s="65" t="n"/>
      <c r="D109" s="65" t="n"/>
      <c r="E109" s="2" t="n"/>
      <c r="F109" s="2" t="n"/>
      <c r="L109" s="1" t="n"/>
      <c r="M109" s="2" t="n"/>
      <c r="N109" s="2" t="n"/>
      <c r="O109" s="2" t="n"/>
      <c r="P109" s="2" t="n"/>
      <c r="Q109" s="2" t="n"/>
      <c r="R109" s="2" t="n"/>
      <c r="S109" s="1" t="inlineStr">
        <is>
          <t>SISDEPDEV:Oracle:Sistema de carnetizacion Espacio Publico:ICARUS</t>
        </is>
      </c>
      <c r="T109" s="91" t="n"/>
      <c r="U109" s="86" t="n"/>
      <c r="V109" s="86" t="n"/>
      <c r="W109" s="2" t="n"/>
      <c r="X109" s="87" t="n"/>
    </row>
    <row r="110">
      <c r="A110" s="4" t="n"/>
      <c r="B110" s="65" t="n"/>
      <c r="C110" s="65" t="n"/>
      <c r="D110" s="65" t="n"/>
      <c r="E110" s="2" t="n"/>
      <c r="F110" s="2" t="n"/>
      <c r="L110" s="1" t="n"/>
      <c r="M110" s="2" t="n"/>
      <c r="N110" s="2" t="n"/>
      <c r="O110" s="2" t="n"/>
      <c r="P110" s="2" t="n"/>
      <c r="Q110" s="2" t="n"/>
      <c r="R110" s="2" t="n"/>
      <c r="S110" s="1" t="inlineStr">
        <is>
          <t>dbVehicularNet:SQL:Ingreso Transito de medellin: TAURO</t>
        </is>
      </c>
      <c r="T110" s="91" t="n"/>
      <c r="U110" s="86" t="n"/>
      <c r="V110" s="86" t="n"/>
      <c r="W110" s="2" t="n"/>
      <c r="X110" s="87" t="n"/>
    </row>
    <row r="111">
      <c r="A111" s="4" t="n"/>
      <c r="B111" s="65" t="n"/>
      <c r="C111" s="65" t="n"/>
      <c r="D111" s="65" t="n"/>
      <c r="E111" s="2" t="n"/>
      <c r="F111" s="2" t="n"/>
      <c r="L111" s="1" t="n"/>
      <c r="M111" s="2" t="n"/>
      <c r="N111" s="2" t="n"/>
      <c r="O111" s="2" t="n"/>
      <c r="P111" s="2" t="n"/>
      <c r="Q111" s="2" t="n"/>
      <c r="R111" s="2" t="n"/>
      <c r="S111" s="1" t="inlineStr">
        <is>
          <t>CensoPredial:SQL:catastro Gicat: TAURO</t>
        </is>
      </c>
      <c r="T111" s="91" t="n"/>
      <c r="U111" s="86" t="n"/>
      <c r="V111" s="86" t="n"/>
      <c r="W111" s="2" t="n"/>
      <c r="X111" s="87" t="n"/>
    </row>
    <row r="112">
      <c r="A112" s="4" t="n"/>
      <c r="B112" s="65" t="n"/>
      <c r="C112" s="65" t="n"/>
      <c r="D112" s="65" t="n"/>
      <c r="E112" s="2" t="n"/>
      <c r="F112" s="2" t="n"/>
      <c r="L112" s="1" t="n"/>
      <c r="M112" s="2" t="n"/>
      <c r="N112" s="2" t="n"/>
      <c r="O112" s="2" t="n"/>
      <c r="P112" s="2" t="n"/>
      <c r="Q112" s="2" t="n"/>
      <c r="R112" s="2" t="n"/>
      <c r="S112" s="1" t="inlineStr">
        <is>
          <t>CatastroEne2011:SQL:Historicos Gicat: TAURO</t>
        </is>
      </c>
      <c r="T112" s="91" t="n"/>
      <c r="U112" s="86" t="n"/>
      <c r="V112" s="86" t="n"/>
      <c r="W112" s="2" t="n"/>
      <c r="X112" s="87" t="n"/>
    </row>
    <row r="113">
      <c r="A113" s="4" t="n"/>
      <c r="B113" s="65" t="n"/>
      <c r="C113" s="65" t="n"/>
      <c r="D113" s="65" t="n"/>
      <c r="E113" s="2" t="n"/>
      <c r="F113" s="2" t="n"/>
      <c r="L113" s="1" t="n"/>
      <c r="M113" s="2" t="n"/>
      <c r="N113" s="2" t="n"/>
      <c r="O113" s="2" t="n"/>
      <c r="P113" s="2" t="n"/>
      <c r="Q113" s="2" t="n"/>
      <c r="R113" s="2" t="n"/>
      <c r="S113" s="1" t="inlineStr">
        <is>
          <t>BDCtrolAcceso:SQL:Acceso transito: TAURO</t>
        </is>
      </c>
      <c r="T113" s="91" t="n"/>
      <c r="U113" s="86" t="n"/>
      <c r="V113" s="86" t="n"/>
      <c r="W113" s="2" t="n"/>
      <c r="X113" s="87" t="n"/>
    </row>
    <row r="114">
      <c r="A114" s="4" t="n"/>
      <c r="B114" s="65" t="n"/>
      <c r="C114" s="65" t="n"/>
      <c r="D114" s="65" t="n"/>
      <c r="E114" s="2" t="n"/>
      <c r="F114" s="2" t="n"/>
      <c r="G114" s="2" t="n"/>
      <c r="H114" s="2" t="n"/>
      <c r="I114" s="2" t="n"/>
      <c r="J114" s="2" t="n"/>
      <c r="L114" s="1" t="n"/>
      <c r="M114" s="2" t="n"/>
      <c r="N114" s="2" t="n"/>
      <c r="O114" s="2" t="n"/>
      <c r="P114" s="2" t="n"/>
      <c r="Q114" s="2" t="n"/>
      <c r="R114" s="2" t="n"/>
      <c r="S114" s="1" t="inlineStr">
        <is>
          <t>Catastro2012:SQL:Historicos Gicat: TAURO</t>
        </is>
      </c>
      <c r="T114" s="91" t="n"/>
      <c r="U114" s="86" t="n"/>
      <c r="V114" s="86" t="n"/>
      <c r="W114" s="2" t="n"/>
      <c r="X114" s="87" t="n"/>
    </row>
    <row r="115">
      <c r="A115" s="4" t="n"/>
      <c r="B115" s="65" t="n"/>
      <c r="C115" s="65" t="n"/>
      <c r="D115" s="65" t="n"/>
      <c r="E115" s="2" t="n"/>
      <c r="F115" s="2" t="n"/>
      <c r="G115" s="2" t="n"/>
      <c r="H115" s="2" t="n"/>
      <c r="I115" s="2" t="n"/>
      <c r="J115" s="2" t="n"/>
      <c r="L115" s="1" t="n"/>
      <c r="M115" s="2" t="n"/>
      <c r="N115" s="2" t="n"/>
      <c r="O115" s="2" t="n"/>
      <c r="P115" s="2" t="n"/>
      <c r="Q115" s="2" t="n"/>
      <c r="R115" s="2" t="n"/>
      <c r="S115" s="1" t="inlineStr">
        <is>
          <t>GISCATM:Oracle:Sistema Geografico de Catastro:ZEUS4</t>
        </is>
      </c>
      <c r="T115" s="91" t="n"/>
      <c r="U115" s="86" t="n"/>
      <c r="V115" s="86" t="n"/>
      <c r="W115" s="2" t="n"/>
      <c r="X115" s="87" t="n"/>
    </row>
    <row r="116">
      <c r="A116" s="4" t="n"/>
      <c r="B116" s="65" t="n"/>
      <c r="C116" s="65" t="n"/>
      <c r="D116" s="65" t="n"/>
      <c r="E116" s="2" t="n"/>
      <c r="F116" s="2" t="n"/>
      <c r="G116" s="2" t="n"/>
      <c r="H116" s="2" t="n"/>
      <c r="I116" s="2" t="n"/>
      <c r="J116" s="2" t="n"/>
      <c r="L116" s="1" t="n"/>
      <c r="M116" s="2" t="n"/>
      <c r="N116" s="2" t="n"/>
      <c r="O116" s="2" t="n"/>
      <c r="P116" s="2" t="n"/>
      <c r="Q116" s="2" t="n"/>
      <c r="R116" s="2" t="n"/>
      <c r="S116" s="1" t="inlineStr">
        <is>
          <t>MDES:Oracle:Sistema Mercurio:ICARUS</t>
        </is>
      </c>
      <c r="T116" s="91" t="n"/>
      <c r="U116" s="86" t="n"/>
      <c r="V116" s="86" t="n"/>
      <c r="W116" s="2" t="n"/>
      <c r="X116" s="87" t="n"/>
    </row>
    <row r="117">
      <c r="A117" s="4" t="n"/>
      <c r="B117" s="65" t="n"/>
      <c r="C117" s="65" t="n"/>
      <c r="D117" s="65" t="n"/>
      <c r="E117" s="2" t="n"/>
      <c r="F117" s="2" t="n"/>
      <c r="L117" s="1" t="n"/>
      <c r="M117" s="2" t="n"/>
      <c r="N117" s="2" t="n"/>
      <c r="O117" s="2" t="n"/>
      <c r="P117" s="2" t="n"/>
      <c r="Q117" s="2" t="n"/>
      <c r="R117" s="2" t="n"/>
      <c r="S117" s="1" t="inlineStr">
        <is>
          <t>SIGA:Oracle:Gestion academica:ALFA</t>
        </is>
      </c>
      <c r="T117" s="91" t="n"/>
      <c r="U117" s="86" t="n"/>
      <c r="V117" s="86" t="n"/>
      <c r="W117" s="2" t="n"/>
      <c r="X117" s="87" t="n"/>
    </row>
    <row r="118">
      <c r="A118" s="4" t="n"/>
      <c r="B118" s="65" t="n"/>
      <c r="C118" s="65" t="n"/>
      <c r="D118" s="65" t="n"/>
      <c r="E118" s="2" t="n"/>
      <c r="F118" s="2" t="n"/>
      <c r="L118" s="1" t="n"/>
      <c r="M118" s="2" t="n"/>
      <c r="N118" s="2" t="n"/>
      <c r="O118" s="2" t="n"/>
      <c r="P118" s="2" t="n"/>
      <c r="Q118" s="2" t="n"/>
      <c r="R118" s="2" t="n"/>
      <c r="S118" s="1" t="inlineStr">
        <is>
          <t>Integracion_SISC:SQL:Secretaria de Salud: TAURO</t>
        </is>
      </c>
      <c r="T118" s="91" t="n"/>
      <c r="U118" s="86" t="n"/>
      <c r="V118" s="86" t="n"/>
      <c r="W118" s="2" t="n"/>
      <c r="X118" s="87" t="n"/>
    </row>
    <row r="119">
      <c r="A119" s="4" t="n"/>
      <c r="B119" s="65" t="n"/>
      <c r="C119" s="65" t="n"/>
      <c r="D119" s="65" t="n"/>
      <c r="E119" s="2" t="n"/>
      <c r="F119" s="2" t="n"/>
      <c r="L119" s="1" t="n"/>
      <c r="M119" s="2" t="n"/>
      <c r="N119" s="2" t="n"/>
      <c r="O119" s="2" t="n"/>
      <c r="P119" s="2" t="n"/>
      <c r="Q119" s="2" t="n"/>
      <c r="R119" s="2" t="n"/>
      <c r="S119" s="1" t="inlineStr">
        <is>
          <t>MATR:Oracle:Demanda Educativa:ALFA</t>
        </is>
      </c>
      <c r="T119" s="91" t="n"/>
      <c r="U119" s="86" t="n"/>
      <c r="V119" s="86" t="n"/>
      <c r="W119" s="2" t="n"/>
      <c r="X119" s="87" t="n"/>
    </row>
    <row r="120">
      <c r="A120" s="4" t="n"/>
      <c r="B120" s="65" t="n"/>
      <c r="C120" s="65" t="n"/>
      <c r="D120" s="65" t="n"/>
      <c r="E120" s="2" t="n"/>
      <c r="F120" s="2" t="n"/>
      <c r="L120" s="1" t="n"/>
      <c r="M120" s="2" t="n"/>
      <c r="N120" s="2" t="n"/>
      <c r="O120" s="2" t="n"/>
      <c r="P120" s="2" t="n"/>
      <c r="Q120" s="2" t="n"/>
      <c r="R120" s="2" t="n"/>
      <c r="S120" s="1" t="inlineStr">
        <is>
          <t>SUB:Oracle:Sistema unico de beneficios:SIGMA</t>
        </is>
      </c>
      <c r="T120" s="91" t="n"/>
      <c r="U120" s="86" t="n"/>
      <c r="V120" s="86" t="n"/>
      <c r="W120" s="2" t="n"/>
      <c r="X120" s="87" t="n"/>
    </row>
    <row r="121">
      <c r="A121" s="4" t="n"/>
      <c r="B121" s="65" t="n"/>
      <c r="C121" s="65" t="n"/>
      <c r="D121" s="65" t="n"/>
      <c r="E121" s="2" t="n"/>
      <c r="F121" s="2" t="n"/>
      <c r="L121" s="1" t="n"/>
      <c r="M121" s="2" t="n"/>
      <c r="N121" s="2" t="n"/>
      <c r="O121" s="2" t="n"/>
      <c r="P121" s="2" t="n"/>
      <c r="Q121" s="2" t="n"/>
      <c r="R121" s="2" t="n"/>
      <c r="S121" s="1" t="inlineStr">
        <is>
          <t>BdAnticorrupcion:SQL:Campañas Portal: TAURO</t>
        </is>
      </c>
      <c r="T121" s="91" t="n"/>
      <c r="U121" s="86" t="n"/>
      <c r="V121" s="86" t="n"/>
      <c r="W121" s="2" t="n"/>
      <c r="X121" s="87" t="n"/>
    </row>
    <row r="122">
      <c r="A122" s="4" t="n"/>
      <c r="B122" s="65" t="n"/>
      <c r="C122" s="65" t="n"/>
      <c r="D122" s="65" t="n"/>
      <c r="E122" s="2" t="n"/>
      <c r="F122" s="2" t="n"/>
      <c r="L122" s="1" t="n"/>
      <c r="M122" s="2" t="n"/>
      <c r="N122" s="2" t="n"/>
      <c r="O122" s="2" t="n"/>
      <c r="P122" s="2" t="n"/>
      <c r="Q122" s="2" t="n"/>
      <c r="R122" s="2" t="n"/>
      <c r="S122" s="1" t="inlineStr">
        <is>
          <t>BdNomasLimosnas:SQL:Campañas Portal: TAURO</t>
        </is>
      </c>
      <c r="T122" s="91" t="n"/>
      <c r="U122" s="86" t="n"/>
      <c r="V122" s="86" t="n"/>
      <c r="W122" s="2" t="n"/>
      <c r="X122" s="87" t="n"/>
    </row>
    <row r="123">
      <c r="A123" s="4" t="n"/>
      <c r="B123" s="65" t="n"/>
      <c r="C123" s="65" t="n"/>
      <c r="D123" s="65" t="n"/>
      <c r="E123" s="2" t="n"/>
      <c r="F123" s="2" t="n"/>
      <c r="L123" s="1" t="n"/>
      <c r="M123" s="2" t="n"/>
      <c r="N123" s="2" t="n"/>
      <c r="O123" s="2" t="n"/>
      <c r="P123" s="2" t="n"/>
      <c r="Q123" s="2" t="n"/>
      <c r="R123" s="2" t="n"/>
      <c r="S123" s="1" t="inlineStr">
        <is>
          <t>DPPF:Oracle:Porfin:ORDB</t>
        </is>
      </c>
      <c r="T123" s="91" t="n"/>
      <c r="U123" s="86" t="n"/>
      <c r="V123" s="86" t="n"/>
      <c r="W123" s="2" t="n"/>
      <c r="X123" s="87" t="n"/>
    </row>
    <row r="124">
      <c r="A124" s="4" t="n"/>
      <c r="B124" s="65" t="n"/>
      <c r="C124" s="65" t="n"/>
      <c r="D124" s="65" t="n"/>
      <c r="E124" s="2" t="n"/>
      <c r="F124" s="2" t="n"/>
      <c r="L124" s="1" t="n"/>
      <c r="M124" s="2" t="n"/>
      <c r="N124" s="2" t="n"/>
      <c r="O124" s="2" t="n"/>
      <c r="P124" s="2" t="n"/>
      <c r="Q124" s="2" t="n"/>
      <c r="R124" s="2" t="n"/>
      <c r="S124" s="1" t="inlineStr">
        <is>
          <t>DV:Oracle:Sap Ixos:SOLMAN-OPENTEXT</t>
        </is>
      </c>
      <c r="T124" s="91" t="n"/>
      <c r="U124" s="86" t="n"/>
      <c r="V124" s="86" t="n"/>
      <c r="W124" s="2" t="n"/>
      <c r="X124" s="87" t="n"/>
    </row>
    <row r="125">
      <c r="A125" s="4" t="n"/>
      <c r="B125" s="65" t="n"/>
      <c r="C125" s="65" t="n"/>
      <c r="D125" s="65" t="n"/>
      <c r="E125" s="2" t="n"/>
      <c r="F125" s="2" t="n"/>
      <c r="L125" s="1" t="n"/>
      <c r="M125" s="2" t="n"/>
      <c r="N125" s="2" t="n"/>
      <c r="O125" s="2" t="n"/>
      <c r="P125" s="2" t="n"/>
      <c r="Q125" s="2" t="n"/>
      <c r="R125" s="2" t="n"/>
      <c r="S125" s="1" t="inlineStr">
        <is>
          <t>dbMunicipioProduccion:SQL:Aplicación Portales: TAURO</t>
        </is>
      </c>
      <c r="T125" s="91" t="n"/>
      <c r="U125" s="86" t="n"/>
      <c r="V125" s="86" t="n"/>
      <c r="W125" s="2" t="n"/>
      <c r="X125" s="87" t="n"/>
    </row>
    <row r="126">
      <c r="A126" s="4" t="n"/>
      <c r="B126" s="65" t="n"/>
      <c r="C126" s="65" t="n"/>
      <c r="D126" s="65" t="n"/>
      <c r="E126" s="2" t="n"/>
      <c r="F126" s="2" t="n"/>
      <c r="L126" s="1" t="n"/>
      <c r="M126" s="2" t="n"/>
      <c r="N126" s="2" t="n"/>
      <c r="O126" s="2" t="n"/>
      <c r="P126" s="2" t="n"/>
      <c r="Q126" s="2" t="n"/>
      <c r="R126" s="2" t="n"/>
      <c r="S126" s="1" t="inlineStr">
        <is>
          <t>BIOMETRICOSBS:Oracle:Sistema de biometrico Transito:SIGMA</t>
        </is>
      </c>
      <c r="T126" s="91" t="n"/>
      <c r="U126" s="86" t="n"/>
      <c r="V126" s="86" t="n"/>
      <c r="W126" s="2" t="n"/>
      <c r="X126" s="87" t="n"/>
    </row>
    <row r="127">
      <c r="A127" s="4" t="n"/>
      <c r="B127" s="65" t="n"/>
      <c r="C127" s="65" t="n"/>
      <c r="D127" s="65" t="n"/>
      <c r="E127" s="2" t="n"/>
      <c r="F127" s="2" t="n"/>
      <c r="L127" s="1" t="n"/>
      <c r="M127" s="2" t="n"/>
      <c r="N127" s="2" t="n"/>
      <c r="O127" s="2" t="n"/>
      <c r="P127" s="2" t="n"/>
      <c r="Q127" s="2" t="n"/>
      <c r="R127" s="2" t="n"/>
      <c r="S127" s="1" t="inlineStr">
        <is>
          <t>AMBI:Oracle:Indicadores Medio Ambiente:ALFA</t>
        </is>
      </c>
      <c r="T127" s="91" t="n"/>
      <c r="U127" s="86" t="n"/>
      <c r="V127" s="86" t="n"/>
      <c r="W127" s="2" t="n"/>
      <c r="X127" s="87" t="n"/>
    </row>
    <row r="128">
      <c r="A128" s="4" t="n"/>
      <c r="B128" s="65" t="n"/>
      <c r="C128" s="65" t="n"/>
      <c r="D128" s="65" t="n"/>
      <c r="E128" s="2" t="n"/>
      <c r="F128" s="2" t="n"/>
      <c r="L128" s="1" t="n"/>
      <c r="M128" s="2" t="n"/>
      <c r="N128" s="2" t="n"/>
      <c r="O128" s="2" t="n"/>
      <c r="P128" s="2" t="n"/>
      <c r="Q128" s="2" t="n"/>
      <c r="R128" s="2" t="n"/>
      <c r="S128" s="1" t="inlineStr">
        <is>
          <t>ICARE:Oracle:Interrelacion Catastro:ORDB</t>
        </is>
      </c>
      <c r="T128" s="91" t="n"/>
      <c r="U128" s="86" t="n"/>
      <c r="V128" s="86" t="n"/>
      <c r="W128" s="2" t="n"/>
      <c r="X128" s="87" t="n"/>
    </row>
    <row r="129">
      <c r="A129" s="4" t="n"/>
      <c r="B129" s="65" t="n"/>
      <c r="C129" s="65" t="n"/>
      <c r="D129" s="65" t="n"/>
      <c r="E129" s="2" t="n"/>
      <c r="F129" s="2" t="n"/>
      <c r="L129" s="1" t="n"/>
      <c r="M129" s="2" t="n"/>
      <c r="N129" s="2" t="n"/>
      <c r="O129" s="2" t="n"/>
      <c r="P129" s="2" t="n"/>
      <c r="Q129" s="2" t="n"/>
      <c r="R129" s="2" t="n"/>
      <c r="S129" s="1" t="inlineStr">
        <is>
          <t>PORTALDB:SQL:Publicacion de clasificados portales: TAURO</t>
        </is>
      </c>
      <c r="T129" s="91" t="n"/>
      <c r="U129" s="86" t="n"/>
      <c r="V129" s="86" t="n"/>
      <c r="W129" s="2" t="n"/>
      <c r="X129" s="87" t="n"/>
    </row>
    <row r="130">
      <c r="A130" s="4" t="n"/>
      <c r="B130" s="65" t="n"/>
      <c r="C130" s="65" t="n"/>
      <c r="D130" s="65" t="n"/>
      <c r="E130" s="2" t="n"/>
      <c r="F130" s="2" t="n"/>
      <c r="L130" s="1" t="n"/>
      <c r="M130" s="2" t="n"/>
      <c r="N130" s="2" t="n"/>
      <c r="O130" s="2" t="n"/>
      <c r="P130" s="2" t="n"/>
      <c r="Q130" s="2" t="n"/>
      <c r="R130" s="2" t="n"/>
      <c r="S130" s="1" t="inlineStr">
        <is>
          <t>lis:SQL:Link Server: TAURO</t>
        </is>
      </c>
      <c r="T130" s="91" t="n"/>
      <c r="U130" s="86" t="n"/>
      <c r="V130" s="86" t="n"/>
      <c r="W130" s="2" t="n"/>
      <c r="X130" s="87" t="n"/>
    </row>
    <row r="131">
      <c r="A131" s="4" t="n"/>
      <c r="B131" s="65" t="n"/>
      <c r="C131" s="65" t="n"/>
      <c r="D131" s="65" t="n"/>
      <c r="E131" s="2" t="n"/>
      <c r="F131" s="2" t="n"/>
      <c r="L131" s="1" t="n"/>
      <c r="M131" s="2" t="n"/>
      <c r="N131" s="2" t="n"/>
      <c r="O131" s="2" t="n"/>
      <c r="P131" s="2" t="n"/>
      <c r="Q131" s="2" t="n"/>
      <c r="R131" s="2" t="n"/>
      <c r="S131" s="1" t="inlineStr">
        <is>
          <t>SIGAME:Oracle:Historico de la BD Geografica:ZEUS4</t>
        </is>
      </c>
      <c r="T131" s="91" t="n"/>
      <c r="U131" s="86" t="n"/>
      <c r="V131" s="86" t="n"/>
      <c r="W131" s="2" t="n"/>
      <c r="X131" s="87" t="n"/>
    </row>
    <row r="132">
      <c r="A132" s="4" t="n"/>
      <c r="B132" s="65" t="n"/>
      <c r="C132" s="65" t="n"/>
      <c r="D132" s="65" t="n"/>
      <c r="E132" s="2" t="n"/>
      <c r="F132" s="2" t="n"/>
      <c r="L132" s="1" t="n"/>
      <c r="M132" s="2" t="n"/>
      <c r="N132" s="2" t="n"/>
      <c r="O132" s="2" t="n"/>
      <c r="P132" s="2" t="n"/>
      <c r="Q132" s="2" t="n"/>
      <c r="R132" s="2" t="n"/>
      <c r="S132" s="1" t="inlineStr">
        <is>
          <t>BIBJUR:Oracle:Biblioteca Juridica:SIGMA</t>
        </is>
      </c>
      <c r="T132" s="91" t="n"/>
      <c r="U132" s="86" t="n"/>
      <c r="V132" s="86" t="n"/>
      <c r="W132" s="2" t="n"/>
      <c r="X132" s="87" t="n"/>
    </row>
    <row r="133">
      <c r="A133" s="4" t="n"/>
      <c r="B133" s="65" t="n"/>
      <c r="C133" s="65" t="n"/>
      <c r="D133" s="65" t="n"/>
      <c r="E133" s="2" t="n"/>
      <c r="F133" s="2" t="n"/>
      <c r="L133" s="1" t="n"/>
      <c r="M133" s="2" t="n"/>
      <c r="N133" s="2" t="n"/>
      <c r="O133" s="2" t="n"/>
      <c r="P133" s="2" t="n"/>
      <c r="Q133" s="2" t="n"/>
      <c r="R133" s="2" t="n"/>
      <c r="S133" s="1" t="inlineStr">
        <is>
          <t>ACL_AUDIT_EXCHANGE:SQL:Auditorias:TAURO</t>
        </is>
      </c>
      <c r="T133" s="91" t="n"/>
      <c r="U133" s="86" t="n"/>
      <c r="V133" s="86" t="n"/>
      <c r="W133" s="2" t="n"/>
      <c r="X133" s="87" t="n"/>
    </row>
    <row r="134">
      <c r="A134" s="4" t="n"/>
      <c r="B134" s="65" t="n"/>
      <c r="C134" s="65" t="n"/>
      <c r="D134" s="65" t="n"/>
      <c r="E134" s="2" t="n"/>
      <c r="F134" s="2" t="n"/>
      <c r="L134" s="1" t="n"/>
      <c r="M134" s="2" t="n"/>
      <c r="N134" s="2" t="n"/>
      <c r="O134" s="2" t="n"/>
      <c r="P134" s="2" t="n"/>
      <c r="Q134" s="2" t="n"/>
      <c r="R134" s="2" t="n"/>
      <c r="S134" s="1" t="inlineStr">
        <is>
          <t>Actualizacion:SQL:Gicat: TAURO</t>
        </is>
      </c>
      <c r="T134" s="91" t="n"/>
      <c r="U134" s="86" t="n"/>
      <c r="V134" s="86" t="n"/>
      <c r="W134" s="2" t="n"/>
      <c r="X134" s="87" t="n"/>
    </row>
    <row r="135">
      <c r="A135" s="4" t="n"/>
      <c r="B135" s="65" t="n"/>
      <c r="C135" s="65" t="n"/>
      <c r="D135" s="65" t="n"/>
      <c r="E135" s="2" t="n"/>
      <c r="F135" s="2" t="n"/>
      <c r="L135" s="1" t="n"/>
      <c r="M135" s="2" t="n"/>
      <c r="N135" s="2" t="n"/>
      <c r="O135" s="2" t="n"/>
      <c r="P135" s="2" t="n"/>
      <c r="Q135" s="2" t="n"/>
      <c r="R135" s="2" t="n"/>
      <c r="S135" s="1" t="inlineStr">
        <is>
          <t>D_Express:SQL:: TAURO</t>
        </is>
      </c>
      <c r="T135" s="91" t="n"/>
      <c r="U135" s="86" t="n"/>
      <c r="V135" s="86" t="n"/>
      <c r="W135" s="2" t="n"/>
      <c r="X135" s="87" t="n"/>
    </row>
    <row r="136">
      <c r="A136" s="4" t="n"/>
      <c r="B136" s="65" t="n"/>
      <c r="C136" s="65" t="n"/>
      <c r="D136" s="65" t="n"/>
      <c r="E136" s="2" t="n"/>
      <c r="F136" s="2" t="n"/>
      <c r="L136" s="1" t="n"/>
      <c r="M136" s="2" t="n"/>
      <c r="N136" s="2" t="n"/>
      <c r="O136" s="2" t="n"/>
      <c r="P136" s="2" t="n"/>
      <c r="Q136" s="2" t="n"/>
      <c r="R136" s="2" t="n"/>
      <c r="S136" s="1" t="inlineStr">
        <is>
          <t>GEST :Oracle:Matricula en linea:SIGMA</t>
        </is>
      </c>
      <c r="T136" s="91" t="n"/>
      <c r="U136" s="86" t="n"/>
      <c r="V136" s="86" t="n"/>
      <c r="W136" s="2" t="n"/>
      <c r="X136" s="87" t="n"/>
    </row>
    <row r="137">
      <c r="A137" s="4" t="n"/>
      <c r="B137" s="65" t="n"/>
      <c r="C137" s="65" t="n"/>
      <c r="D137" s="65" t="n"/>
      <c r="E137" s="2" t="n"/>
      <c r="F137" s="2" t="n"/>
      <c r="L137" s="1" t="n"/>
      <c r="M137" s="2" t="n"/>
      <c r="N137" s="2" t="n"/>
      <c r="O137" s="2" t="n"/>
      <c r="P137" s="2" t="n"/>
      <c r="Q137" s="2" t="n"/>
      <c r="R137" s="2" t="n"/>
      <c r="S137" s="1" t="inlineStr">
        <is>
          <t>OBSE:Oracle:Theta:ZEUS4</t>
        </is>
      </c>
      <c r="T137" s="91" t="n"/>
      <c r="U137" s="86" t="n"/>
      <c r="V137" s="86" t="n"/>
      <c r="W137" s="2" t="n"/>
      <c r="X137" s="87" t="n"/>
    </row>
    <row r="138">
      <c r="A138" s="4" t="n"/>
      <c r="B138" s="65" t="n"/>
      <c r="C138" s="65" t="n"/>
      <c r="D138" s="65" t="n"/>
      <c r="E138" s="2" t="n"/>
      <c r="F138" s="2" t="n"/>
      <c r="L138" s="1" t="n"/>
      <c r="M138" s="2" t="n"/>
      <c r="N138" s="2" t="n"/>
      <c r="O138" s="2" t="n"/>
      <c r="P138" s="2" t="n"/>
      <c r="Q138" s="2" t="n"/>
      <c r="R138" s="2" t="n"/>
      <c r="S138" s="1" t="inlineStr">
        <is>
          <t>Firmas2007:SQL:Secretaria de catastro: TAURO</t>
        </is>
      </c>
      <c r="T138" s="91" t="n"/>
      <c r="U138" s="86" t="n"/>
      <c r="V138" s="86" t="n"/>
      <c r="W138" s="2" t="n"/>
      <c r="X138" s="87" t="n"/>
    </row>
    <row r="139">
      <c r="A139" s="4" t="n"/>
      <c r="B139" s="65" t="n"/>
      <c r="C139" s="65" t="n"/>
      <c r="D139" s="65" t="n"/>
      <c r="E139" s="2" t="n"/>
      <c r="F139" s="2" t="n"/>
      <c r="L139" s="1" t="n"/>
      <c r="M139" s="2" t="n"/>
      <c r="N139" s="2" t="n"/>
      <c r="O139" s="2" t="n"/>
      <c r="P139" s="2" t="n"/>
      <c r="Q139" s="2" t="n"/>
      <c r="R139" s="2" t="n"/>
      <c r="S139" s="1" t="inlineStr">
        <is>
          <t>SM1:Oracle:Solman:SUNSOLMAN</t>
        </is>
      </c>
      <c r="T139" s="91" t="n"/>
      <c r="U139" s="86" t="n"/>
      <c r="V139" s="86" t="n"/>
      <c r="W139" s="2" t="n"/>
      <c r="X139" s="87" t="n"/>
    </row>
    <row r="140">
      <c r="A140" s="4" t="n"/>
      <c r="B140" s="65" t="n"/>
      <c r="C140" s="65" t="n"/>
      <c r="D140" s="65" t="n"/>
      <c r="E140" s="2" t="n"/>
      <c r="F140" s="2" t="n"/>
      <c r="L140" s="1" t="n"/>
      <c r="M140" s="2" t="n"/>
      <c r="N140" s="2" t="n"/>
      <c r="O140" s="2" t="n"/>
      <c r="P140" s="2" t="n"/>
      <c r="Q140" s="2" t="n"/>
      <c r="R140" s="2" t="n"/>
      <c r="S140" s="1" t="inlineStr">
        <is>
          <t>bd_incidentes:SQL:Campañas Portal: TAURO</t>
        </is>
      </c>
      <c r="T140" s="91" t="n"/>
      <c r="U140" s="86" t="n"/>
      <c r="V140" s="86" t="n"/>
      <c r="W140" s="2" t="n"/>
      <c r="X140" s="87" t="n"/>
    </row>
    <row r="141">
      <c r="A141" s="4" t="n"/>
      <c r="B141" s="65" t="n"/>
      <c r="C141" s="65" t="n"/>
      <c r="D141" s="65" t="n"/>
      <c r="E141" s="2" t="n"/>
      <c r="F141" s="2" t="n"/>
      <c r="L141" s="1" t="n"/>
      <c r="M141" s="2" t="n"/>
      <c r="N141" s="2" t="n"/>
      <c r="O141" s="2" t="n"/>
      <c r="P141" s="2" t="n"/>
      <c r="Q141" s="2" t="n"/>
      <c r="R141" s="2" t="n"/>
      <c r="S141" s="1" t="inlineStr">
        <is>
          <t>BdIppl4:SQL:Campañas Portal: TAURO</t>
        </is>
      </c>
      <c r="T141" s="91" t="n"/>
      <c r="U141" s="86" t="n"/>
      <c r="V141" s="86" t="n"/>
      <c r="W141" s="2" t="n"/>
      <c r="X141" s="87" t="n"/>
    </row>
    <row r="142">
      <c r="A142" s="4" t="n"/>
      <c r="B142" s="65" t="n"/>
      <c r="C142" s="65" t="n"/>
      <c r="D142" s="65" t="n"/>
      <c r="E142" s="2" t="n"/>
      <c r="F142" s="2" t="n"/>
      <c r="L142" s="1" t="n"/>
      <c r="M142" s="2" t="n"/>
      <c r="N142" s="2" t="n"/>
      <c r="O142" s="2" t="n"/>
      <c r="P142" s="2" t="n"/>
      <c r="Q142" s="2" t="n"/>
      <c r="R142" s="2" t="n"/>
      <c r="S142" s="1" t="inlineStr">
        <is>
          <t>MSDB9:SQL:Bd sistema: TAURO</t>
        </is>
      </c>
      <c r="T142" s="91" t="n"/>
      <c r="U142" s="86" t="n"/>
      <c r="V142" s="86" t="n"/>
      <c r="W142" s="2" t="n"/>
      <c r="X142" s="87" t="n"/>
    </row>
    <row r="143">
      <c r="A143" s="4" t="n"/>
      <c r="B143" s="65" t="n"/>
      <c r="C143" s="65" t="n"/>
      <c r="D143" s="65" t="n"/>
      <c r="E143" s="2" t="n"/>
      <c r="F143" s="2" t="n"/>
      <c r="L143" s="1" t="n"/>
      <c r="M143" s="2" t="n"/>
      <c r="N143" s="2" t="n"/>
      <c r="O143" s="2" t="n"/>
      <c r="P143" s="2" t="n"/>
      <c r="Q143" s="2" t="n"/>
      <c r="R143" s="2" t="n"/>
      <c r="S143" s="1" t="inlineStr">
        <is>
          <t>PAISOFT:SQL:Aplicación Paisoft Secre Salud: TAURO</t>
        </is>
      </c>
      <c r="T143" s="91" t="n"/>
      <c r="U143" s="86" t="n"/>
      <c r="V143" s="86" t="n"/>
      <c r="W143" s="2" t="n"/>
      <c r="X143" s="87" t="n"/>
    </row>
    <row r="144">
      <c r="A144" s="4" t="n"/>
      <c r="B144" s="65" t="n"/>
      <c r="C144" s="65" t="n"/>
      <c r="D144" s="65" t="n"/>
      <c r="E144" s="2" t="n"/>
      <c r="F144" s="2" t="n"/>
      <c r="L144" s="1" t="n"/>
      <c r="M144" s="2" t="n"/>
      <c r="N144" s="2" t="n"/>
      <c r="O144" s="2" t="n"/>
      <c r="P144" s="2" t="n"/>
      <c r="Q144" s="2" t="n"/>
      <c r="R144" s="2" t="n"/>
      <c r="S144" s="1" t="inlineStr">
        <is>
          <t>SameVictimas:SQL:campaña portal: TAURO</t>
        </is>
      </c>
      <c r="T144" s="91" t="n"/>
      <c r="U144" s="86" t="n"/>
      <c r="V144" s="86" t="n"/>
      <c r="W144" s="2" t="n"/>
      <c r="X144" s="87" t="n"/>
    </row>
    <row r="145">
      <c r="A145" s="4" t="n"/>
      <c r="B145" s="65" t="n"/>
      <c r="C145" s="65" t="n"/>
      <c r="D145" s="65" t="n"/>
      <c r="E145" s="2" t="n"/>
      <c r="F145" s="2" t="n"/>
      <c r="L145" s="1" t="n"/>
      <c r="M145" s="2" t="n"/>
      <c r="N145" s="2" t="n"/>
      <c r="O145" s="2" t="n"/>
      <c r="P145" s="2" t="n"/>
      <c r="Q145" s="2" t="n"/>
      <c r="R145" s="2" t="n"/>
      <c r="S145" s="1" t="inlineStr">
        <is>
          <t>rtcdyn:SQL:Link Server: TAURO</t>
        </is>
      </c>
      <c r="T145" s="91" t="n"/>
      <c r="U145" s="86" t="n"/>
      <c r="V145" s="86" t="n"/>
      <c r="W145" s="2" t="n"/>
      <c r="X145" s="87" t="n"/>
    </row>
    <row r="146">
      <c r="A146" s="4" t="n"/>
      <c r="B146" s="65" t="n"/>
      <c r="C146" s="65" t="n"/>
      <c r="D146" s="65" t="n"/>
      <c r="E146" s="2" t="n"/>
      <c r="F146" s="2" t="n"/>
      <c r="L146" s="1" t="n"/>
      <c r="M146" s="2" t="n"/>
      <c r="N146" s="2" t="n"/>
      <c r="O146" s="2" t="n"/>
      <c r="P146" s="2" t="n"/>
      <c r="Q146" s="2" t="n"/>
      <c r="R146" s="2" t="n"/>
      <c r="S146" s="1" t="inlineStr">
        <is>
          <t>rgsdyn:SQL:Link Server: TAURO</t>
        </is>
      </c>
      <c r="T146" s="91" t="n"/>
      <c r="U146" s="86" t="n"/>
      <c r="V146" s="86" t="n"/>
      <c r="W146" s="2" t="n"/>
      <c r="X146" s="87" t="n"/>
    </row>
    <row r="147">
      <c r="A147" s="4" t="n"/>
      <c r="B147" s="65" t="n"/>
      <c r="C147" s="65" t="n"/>
      <c r="D147" s="65" t="n"/>
      <c r="E147" s="2" t="n"/>
      <c r="F147" s="2" t="n"/>
      <c r="L147" s="1" t="n"/>
      <c r="M147" s="2" t="n"/>
      <c r="N147" s="2" t="n"/>
      <c r="O147" s="2" t="n"/>
      <c r="P147" s="2" t="n"/>
      <c r="Q147" s="2" t="n"/>
      <c r="R147" s="2" t="n"/>
      <c r="S147" s="1" t="inlineStr">
        <is>
          <t>RIPS2005:SQL:Historicos Salud: TAURO</t>
        </is>
      </c>
      <c r="T147" s="91" t="n"/>
      <c r="U147" s="86" t="n"/>
      <c r="V147" s="86" t="n"/>
      <c r="W147" s="2" t="n"/>
      <c r="X147" s="87" t="n"/>
    </row>
    <row r="148">
      <c r="A148" s="4" t="n"/>
      <c r="B148" s="65" t="n"/>
      <c r="C148" s="65" t="n"/>
      <c r="D148" s="65" t="n"/>
      <c r="E148" s="2" t="n"/>
      <c r="F148" s="2" t="n"/>
      <c r="L148" s="1" t="n"/>
      <c r="M148" s="2" t="n"/>
      <c r="N148" s="2" t="n"/>
      <c r="O148" s="2" t="n"/>
      <c r="P148" s="2" t="n"/>
      <c r="Q148" s="2" t="n"/>
      <c r="R148" s="2" t="n"/>
      <c r="S148" s="1" t="inlineStr">
        <is>
          <t>RIPS2006:SQL:Historicos Salud: TAURO</t>
        </is>
      </c>
      <c r="T148" s="91" t="n"/>
      <c r="U148" s="86" t="n"/>
      <c r="V148" s="86" t="n"/>
      <c r="W148" s="2" t="n"/>
      <c r="X148" s="87" t="n"/>
    </row>
    <row r="149">
      <c r="B149" s="80" t="n"/>
      <c r="C149" s="80" t="n"/>
      <c r="D149" s="80" t="n"/>
      <c r="E149" s="2" t="n"/>
      <c r="F149" s="2" t="n"/>
      <c r="L149" s="1" t="n"/>
      <c r="M149" s="2" t="n"/>
      <c r="N149" s="2" t="n"/>
      <c r="O149" s="2" t="n"/>
      <c r="P149" s="2" t="n"/>
      <c r="Q149" s="2" t="n"/>
      <c r="R149" s="2" t="n"/>
      <c r="S149" s="1" t="inlineStr">
        <is>
          <t>RIPS2007:SQL:Historicos Salud: TAURO</t>
        </is>
      </c>
      <c r="T149" s="91" t="n"/>
      <c r="U149" s="86" t="n"/>
      <c r="V149" s="86" t="n"/>
      <c r="W149" s="2" t="n"/>
      <c r="X149" s="87" t="n"/>
    </row>
    <row r="150">
      <c r="B150" s="80" t="n"/>
      <c r="C150" s="80" t="n"/>
      <c r="D150" s="80" t="n"/>
      <c r="E150" s="2" t="n"/>
      <c r="F150" s="2" t="n"/>
      <c r="L150" s="1" t="n"/>
      <c r="M150" s="2" t="n"/>
      <c r="N150" s="2" t="n"/>
      <c r="O150" s="2" t="n"/>
      <c r="P150" s="2" t="n"/>
      <c r="Q150" s="2" t="n"/>
      <c r="R150" s="2" t="n"/>
      <c r="S150" s="1" t="inlineStr">
        <is>
          <t>RIPS2008:SQL:Historicos Salud: TAURO</t>
        </is>
      </c>
      <c r="T150" s="91" t="n"/>
      <c r="U150" s="86" t="n"/>
      <c r="V150" s="86" t="n"/>
      <c r="W150" s="2" t="n"/>
      <c r="X150" s="87" t="n"/>
    </row>
    <row r="151">
      <c r="B151" s="80" t="n"/>
      <c r="C151" s="80" t="n"/>
      <c r="D151" s="80" t="n"/>
      <c r="E151" s="2" t="n"/>
      <c r="F151" s="2" t="n"/>
      <c r="L151" s="1" t="n"/>
      <c r="M151" s="2" t="n"/>
      <c r="N151" s="2" t="n"/>
      <c r="O151" s="2" t="n"/>
      <c r="P151" s="2" t="n"/>
      <c r="Q151" s="2" t="n"/>
      <c r="R151" s="2" t="n"/>
      <c r="S151" s="1" t="inlineStr">
        <is>
          <t>rtc:SQL:Link Server: TAURO</t>
        </is>
      </c>
      <c r="T151" s="91" t="n"/>
      <c r="U151" s="86" t="n"/>
      <c r="V151" s="86" t="n"/>
      <c r="W151" s="2" t="n"/>
      <c r="X151" s="87" t="n"/>
    </row>
    <row r="152">
      <c r="A152" s="4" t="n"/>
      <c r="B152" s="65" t="n"/>
      <c r="C152" s="65" t="n"/>
      <c r="D152" s="65" t="n"/>
      <c r="E152" s="2" t="n"/>
      <c r="F152" s="2" t="n"/>
      <c r="L152" s="1" t="n"/>
      <c r="M152" s="2" t="n"/>
      <c r="N152" s="2" t="n"/>
      <c r="O152" s="2" t="n"/>
      <c r="P152" s="2" t="n"/>
      <c r="Q152" s="2" t="n"/>
      <c r="R152" s="2" t="n"/>
      <c r="S152" s="1" t="inlineStr">
        <is>
          <t>rtcab:SQL:Link Server: TAURO</t>
        </is>
      </c>
      <c r="T152" s="91" t="n"/>
      <c r="U152" s="86" t="n"/>
      <c r="V152" s="86" t="n"/>
      <c r="W152" s="2" t="n"/>
      <c r="X152" s="87" t="n"/>
    </row>
    <row r="153">
      <c r="A153" s="4" t="n"/>
      <c r="B153" s="65" t="n"/>
      <c r="C153" s="65" t="n"/>
      <c r="D153" s="65" t="n"/>
      <c r="E153" s="2" t="n"/>
      <c r="F153" s="2" t="n"/>
      <c r="L153" s="1" t="n"/>
      <c r="M153" s="2" t="n"/>
      <c r="N153" s="2" t="n"/>
      <c r="O153" s="2" t="n"/>
      <c r="P153" s="2" t="n"/>
      <c r="Q153" s="2" t="n"/>
      <c r="R153" s="2" t="n"/>
      <c r="S153" s="1" t="inlineStr">
        <is>
          <t>rtcab1:SQL:Link Server: TAURO</t>
        </is>
      </c>
      <c r="T153" s="91" t="n"/>
      <c r="U153" s="86" t="n"/>
      <c r="V153" s="86" t="n"/>
      <c r="W153" s="2" t="n"/>
      <c r="X153" s="87" t="n"/>
    </row>
    <row r="154">
      <c r="A154" s="4" t="n"/>
      <c r="B154" s="65" t="n"/>
      <c r="C154" s="65" t="n"/>
      <c r="D154" s="65" t="n"/>
      <c r="E154" s="2" t="n"/>
      <c r="F154" s="2" t="n"/>
      <c r="L154" s="1" t="n"/>
      <c r="M154" s="2" t="n"/>
      <c r="N154" s="2" t="n"/>
      <c r="O154" s="2" t="n"/>
      <c r="P154" s="2" t="n"/>
      <c r="Q154" s="2" t="n"/>
      <c r="R154" s="2" t="n"/>
      <c r="S154" s="1" t="inlineStr">
        <is>
          <t>seguim_solic_simpad_prd:SQL:Aplicación Portal: TAURO</t>
        </is>
      </c>
      <c r="T154" s="91" t="n"/>
      <c r="U154" s="86" t="n"/>
      <c r="V154" s="86" t="n"/>
      <c r="W154" s="2" t="n"/>
      <c r="X154" s="87" t="n"/>
    </row>
    <row r="155">
      <c r="A155" s="4" t="n"/>
      <c r="B155" s="65" t="n"/>
      <c r="C155" s="65" t="n"/>
      <c r="D155" s="65" t="n"/>
      <c r="E155" s="2" t="n"/>
      <c r="F155" s="2" t="n"/>
      <c r="L155" s="1" t="n"/>
      <c r="M155" s="2" t="n"/>
      <c r="N155" s="2" t="n"/>
      <c r="O155" s="2" t="n"/>
      <c r="P155" s="2" t="n"/>
      <c r="Q155" s="2" t="n"/>
      <c r="R155" s="2" t="n"/>
      <c r="T155" s="91" t="n"/>
      <c r="U155" s="86" t="n"/>
      <c r="V155" s="86" t="n"/>
      <c r="W155" s="2" t="n"/>
      <c r="X155" s="87" t="n"/>
    </row>
    <row r="156">
      <c r="A156" s="4" t="n"/>
      <c r="B156" s="65" t="n"/>
      <c r="C156" s="65" t="n"/>
      <c r="D156" s="65" t="n"/>
      <c r="E156" s="2" t="n"/>
      <c r="F156" s="2" t="n"/>
      <c r="L156" s="1" t="n"/>
      <c r="M156" s="2" t="n"/>
      <c r="N156" s="2" t="n"/>
      <c r="O156" s="2" t="n"/>
      <c r="P156" s="2" t="n"/>
      <c r="Q156" s="2" t="n"/>
      <c r="R156" s="2" t="n"/>
      <c r="S156" s="1" t="inlineStr">
        <is>
          <t>sentryadm:SQL:Aplicación Sentry turnos : TAURO</t>
        </is>
      </c>
      <c r="T156" s="91" t="n"/>
      <c r="U156" s="86" t="n"/>
      <c r="V156" s="86" t="n"/>
      <c r="W156" s="2" t="n"/>
      <c r="X156" s="87" t="n"/>
    </row>
    <row r="157">
      <c r="A157" s="4" t="n"/>
      <c r="B157" s="65" t="n"/>
      <c r="C157" s="65" t="n"/>
      <c r="D157" s="65" t="n"/>
      <c r="E157" s="2" t="n"/>
      <c r="F157" s="2" t="n"/>
      <c r="L157" s="1" t="n"/>
      <c r="M157" s="2" t="n"/>
      <c r="N157" s="2" t="n"/>
      <c r="O157" s="2" t="n"/>
      <c r="P157" s="2" t="n"/>
      <c r="Q157" s="2" t="n"/>
      <c r="R157" s="2" t="n"/>
      <c r="S157" s="1" t="inlineStr">
        <is>
          <t>Servicios_SIS:SQL:aplicación salud: TAURO</t>
        </is>
      </c>
      <c r="T157" s="91" t="n"/>
      <c r="U157" s="86" t="n"/>
      <c r="V157" s="86" t="n"/>
      <c r="W157" s="2" t="n"/>
      <c r="X157" s="87" t="n"/>
    </row>
    <row r="158">
      <c r="A158" s="4" t="n"/>
      <c r="B158" s="65" t="n"/>
      <c r="C158" s="65" t="n"/>
      <c r="D158" s="65" t="n"/>
      <c r="E158" s="2" t="n"/>
      <c r="F158" s="2" t="n"/>
      <c r="L158" s="1" t="n"/>
      <c r="M158" s="2" t="n"/>
      <c r="N158" s="2" t="n"/>
      <c r="O158" s="2" t="n"/>
      <c r="P158" s="2" t="n"/>
      <c r="Q158" s="2" t="n"/>
      <c r="R158" s="2" t="n"/>
      <c r="S158" s="1" t="inlineStr">
        <is>
          <t>Simulacion2007:SQL:: TAURO</t>
        </is>
      </c>
      <c r="T158" s="91" t="n"/>
      <c r="U158" s="86" t="n"/>
      <c r="V158" s="86" t="n"/>
      <c r="W158" s="2" t="n"/>
      <c r="X158" s="87" t="n"/>
    </row>
    <row r="159">
      <c r="A159" s="4" t="n"/>
      <c r="B159" s="65" t="n"/>
      <c r="C159" s="65" t="n"/>
      <c r="D159" s="65" t="n"/>
      <c r="E159" s="2" t="n"/>
      <c r="F159" s="2" t="n"/>
      <c r="L159" s="1" t="n"/>
      <c r="M159" s="2" t="n"/>
      <c r="N159" s="2" t="n"/>
      <c r="O159" s="2" t="n"/>
      <c r="P159" s="2" t="n"/>
      <c r="Q159" s="2" t="n"/>
      <c r="R159" s="2" t="n"/>
      <c r="S159" s="1" t="inlineStr">
        <is>
          <t>SisMaster:SQL:Aplicación Sismaster Secretaria de Salud: TAURO</t>
        </is>
      </c>
      <c r="T159" s="91" t="n"/>
      <c r="U159" s="86" t="n"/>
      <c r="V159" s="86" t="n"/>
      <c r="W159" s="2" t="n"/>
      <c r="X159" s="87" t="n"/>
    </row>
    <row r="160">
      <c r="A160" s="4" t="n"/>
      <c r="B160" s="65" t="n"/>
      <c r="C160" s="65" t="n"/>
      <c r="D160" s="65" t="n"/>
      <c r="E160" s="2" t="n"/>
      <c r="F160" s="2" t="n"/>
      <c r="L160" s="1" t="n"/>
      <c r="M160" s="2" t="n"/>
      <c r="N160" s="2" t="n"/>
      <c r="O160" s="2" t="n"/>
      <c r="P160" s="2" t="n"/>
      <c r="Q160" s="2" t="n"/>
      <c r="R160" s="2" t="n"/>
      <c r="S160" s="1" t="inlineStr">
        <is>
          <t>SistemaSentry_Vision:SQL:Aplicación Sentry turnos : TAURO</t>
        </is>
      </c>
      <c r="T160" s="91" t="n"/>
      <c r="U160" s="86" t="n"/>
      <c r="V160" s="86" t="n"/>
      <c r="W160" s="2" t="n"/>
      <c r="X160" s="87" t="n"/>
    </row>
    <row r="161">
      <c r="A161" s="4" t="n"/>
      <c r="B161" s="65" t="n"/>
      <c r="C161" s="65" t="n"/>
      <c r="D161" s="65" t="n"/>
      <c r="E161" s="2" t="n"/>
      <c r="F161" s="2" t="n"/>
      <c r="L161" s="1" t="n"/>
      <c r="M161" s="2" t="n"/>
      <c r="N161" s="2" t="n"/>
      <c r="O161" s="2" t="n"/>
      <c r="P161" s="2" t="n"/>
      <c r="Q161" s="2" t="n"/>
      <c r="R161" s="2" t="n"/>
      <c r="S161" s="1" t="inlineStr">
        <is>
          <t>SISVACDB_PRD:SQL:Aplicación Portal: TAURO</t>
        </is>
      </c>
      <c r="T161" s="91" t="n"/>
      <c r="U161" s="86" t="n"/>
      <c r="V161" s="86" t="n"/>
      <c r="W161" s="2" t="n"/>
      <c r="X161" s="87" t="n"/>
    </row>
    <row r="162">
      <c r="A162" s="4" t="n"/>
      <c r="B162" s="65" t="n"/>
      <c r="C162" s="65" t="n"/>
      <c r="D162" s="65" t="n"/>
      <c r="E162" s="2" t="n"/>
      <c r="F162" s="2" t="n"/>
      <c r="L162" s="1" t="n"/>
      <c r="M162" s="2" t="n"/>
      <c r="N162" s="2" t="n"/>
      <c r="O162" s="2" t="n"/>
      <c r="P162" s="2" t="n"/>
      <c r="Q162" s="2" t="n"/>
      <c r="R162" s="2" t="n"/>
      <c r="S162" s="1" t="inlineStr">
        <is>
          <t>SITE:SQL:: TAURO</t>
        </is>
      </c>
      <c r="T162" s="91" t="n"/>
      <c r="U162" s="86" t="n"/>
      <c r="V162" s="86" t="n"/>
      <c r="W162" s="2" t="n"/>
      <c r="X162" s="87" t="n"/>
    </row>
    <row r="163">
      <c r="A163" s="4" t="n"/>
      <c r="B163" s="65" t="n"/>
      <c r="C163" s="65" t="n"/>
      <c r="D163" s="65" t="n"/>
      <c r="E163" s="2" t="n"/>
      <c r="F163" s="2" t="n"/>
      <c r="L163" s="1" t="n"/>
      <c r="M163" s="2" t="n"/>
      <c r="N163" s="2" t="n"/>
      <c r="O163" s="2" t="n"/>
      <c r="P163" s="2" t="n"/>
      <c r="Q163" s="2" t="n"/>
      <c r="R163" s="2" t="n"/>
      <c r="S163" s="1" t="inlineStr">
        <is>
          <t>SLMDMDB:SQL:Aplicación Portal: TAURO</t>
        </is>
      </c>
      <c r="T163" s="91" t="n"/>
      <c r="U163" s="86" t="n"/>
      <c r="V163" s="86" t="n"/>
      <c r="W163" s="2" t="n"/>
      <c r="X163" s="87" t="n"/>
    </row>
    <row r="164">
      <c r="A164" s="4" t="n"/>
      <c r="B164" s="65" t="n"/>
      <c r="C164" s="65" t="n"/>
      <c r="D164" s="65" t="n"/>
      <c r="E164" s="2" t="n"/>
      <c r="F164" s="2" t="n"/>
      <c r="L164" s="1" t="n"/>
      <c r="M164" s="2" t="n"/>
      <c r="N164" s="2" t="n"/>
      <c r="O164" s="2" t="n"/>
      <c r="P164" s="2" t="n"/>
      <c r="Q164" s="2" t="n"/>
      <c r="R164" s="2" t="n"/>
      <c r="S164" s="1" t="inlineStr">
        <is>
          <t>SPC:SQL:: TAURO</t>
        </is>
      </c>
      <c r="T164" s="91" t="n"/>
      <c r="U164" s="86" t="n"/>
      <c r="V164" s="86" t="n"/>
      <c r="W164" s="2" t="n"/>
      <c r="X164" s="87" t="n"/>
    </row>
    <row r="165">
      <c r="A165" s="4" t="n"/>
      <c r="B165" s="65" t="n"/>
      <c r="C165" s="65" t="n"/>
      <c r="D165" s="65" t="n"/>
      <c r="E165" s="2" t="n"/>
      <c r="F165" s="2" t="n"/>
      <c r="L165" s="1" t="n"/>
      <c r="M165" s="2" t="n"/>
      <c r="N165" s="2" t="n"/>
      <c r="O165" s="2" t="n"/>
      <c r="P165" s="2" t="n"/>
      <c r="Q165" s="2" t="n"/>
      <c r="R165" s="2" t="n"/>
      <c r="S165" s="1" t="inlineStr">
        <is>
          <t>SSM_BD_NUTRICION:SQL:Aplicación Salud Nutricion:TAURO</t>
        </is>
      </c>
      <c r="T165" s="91" t="n"/>
      <c r="U165" s="86" t="n"/>
      <c r="V165" s="86" t="n"/>
      <c r="W165" s="2" t="n"/>
      <c r="X165" s="87" t="n"/>
    </row>
    <row r="166">
      <c r="A166" s="4" t="n"/>
      <c r="B166" s="65" t="n"/>
      <c r="C166" s="65" t="n"/>
      <c r="D166" s="65" t="n"/>
      <c r="E166" s="2" t="n"/>
      <c r="F166" s="2" t="n"/>
      <c r="L166" s="1" t="n"/>
      <c r="M166" s="2" t="n"/>
      <c r="N166" s="2" t="n"/>
      <c r="O166" s="2" t="n"/>
      <c r="P166" s="2" t="n"/>
      <c r="Q166" s="2" t="n"/>
      <c r="R166" s="2" t="n"/>
      <c r="S166" s="1" t="inlineStr">
        <is>
          <t>SSM_SISPLAM:SQL:Aplicación Salud Sisplam:TAURO</t>
        </is>
      </c>
      <c r="T166" s="91" t="n"/>
      <c r="U166" s="86" t="n"/>
      <c r="V166" s="86" t="n"/>
      <c r="W166" s="2" t="n"/>
      <c r="X166" s="87" t="n"/>
    </row>
    <row r="167">
      <c r="A167" s="4" t="n"/>
      <c r="B167" s="65" t="n"/>
      <c r="C167" s="65" t="n"/>
      <c r="D167" s="65" t="n"/>
      <c r="E167" s="2" t="n"/>
      <c r="F167" s="2" t="n"/>
      <c r="L167" s="1" t="n"/>
      <c r="M167" s="2" t="n"/>
      <c r="N167" s="2" t="n"/>
      <c r="O167" s="2" t="n"/>
      <c r="P167" s="2" t="n"/>
      <c r="Q167" s="2" t="n"/>
      <c r="R167" s="2" t="n"/>
      <c r="S167" s="1" t="inlineStr">
        <is>
          <t>STARWATCH_STD:SQL:Sistema Biometrico de carnetizacion espacio publico:TAURO</t>
        </is>
      </c>
      <c r="T167" s="91" t="n"/>
      <c r="U167" s="86" t="n"/>
      <c r="V167" s="86" t="n"/>
      <c r="W167" s="2" t="n"/>
      <c r="X167" s="87" t="n"/>
    </row>
    <row r="168">
      <c r="A168" s="4" t="n"/>
      <c r="B168" s="65" t="n"/>
      <c r="C168" s="65" t="n"/>
      <c r="D168" s="65" t="n"/>
      <c r="E168" s="2" t="n"/>
      <c r="F168" s="2" t="n"/>
      <c r="L168" s="1" t="n"/>
      <c r="M168" s="2" t="n"/>
      <c r="N168" s="2" t="n"/>
      <c r="O168" s="2" t="n"/>
      <c r="P168" s="2" t="n"/>
      <c r="Q168" s="2" t="n"/>
      <c r="R168" s="2" t="n"/>
      <c r="S168" s="1" t="inlineStr">
        <is>
          <t>tempdb:SQL:Temporal BD:TAURO</t>
        </is>
      </c>
      <c r="T168" s="91" t="n"/>
      <c r="U168" s="86" t="n"/>
      <c r="V168" s="86" t="n"/>
      <c r="W168" s="2" t="n"/>
      <c r="X168" s="87" t="n"/>
    </row>
    <row r="169">
      <c r="A169" s="4" t="n"/>
      <c r="B169" s="65" t="n"/>
      <c r="C169" s="65" t="n"/>
      <c r="D169" s="65" t="n"/>
      <c r="E169" s="2" t="n"/>
      <c r="F169" s="2" t="n"/>
      <c r="L169" s="1" t="n"/>
      <c r="M169" s="2" t="n"/>
      <c r="N169" s="2" t="n"/>
      <c r="O169" s="2" t="n"/>
      <c r="P169" s="2" t="n"/>
      <c r="Q169" s="2" t="n"/>
      <c r="R169" s="2" t="n"/>
      <c r="S169" s="1" t="inlineStr">
        <is>
          <t>VERIFICACION:SQL:Gicat: TAURO</t>
        </is>
      </c>
      <c r="T169" s="91" t="n"/>
      <c r="U169" s="86" t="n"/>
      <c r="V169" s="86" t="n"/>
      <c r="W169" s="2" t="n"/>
      <c r="X169" s="87" t="n"/>
    </row>
    <row r="170">
      <c r="A170" s="4" t="n"/>
      <c r="B170" s="65" t="n"/>
      <c r="C170" s="65" t="n"/>
      <c r="D170" s="65" t="n"/>
      <c r="E170" s="2" t="n"/>
      <c r="F170" s="2" t="n"/>
      <c r="L170" s="1" t="n"/>
      <c r="M170" s="2" t="n"/>
      <c r="N170" s="2" t="n"/>
      <c r="O170" s="2" t="n"/>
      <c r="P170" s="2" t="n"/>
      <c r="Q170" s="2" t="n"/>
      <c r="R170" s="2" t="n"/>
      <c r="S170" s="1" t="inlineStr">
        <is>
          <t>Vetechip:SQL:Sistema de vacunacioon y registro de animales:TAURO</t>
        </is>
      </c>
      <c r="T170" s="91" t="n"/>
      <c r="U170" s="86" t="n"/>
      <c r="V170" s="86" t="n"/>
      <c r="W170" s="2" t="n"/>
      <c r="X170" s="87" t="n"/>
    </row>
    <row r="171">
      <c r="A171" s="4" t="n"/>
      <c r="B171" s="65" t="n"/>
      <c r="C171" s="65" t="n"/>
      <c r="D171" s="65" t="n"/>
      <c r="E171" s="2" t="n"/>
      <c r="F171" s="2" t="n"/>
      <c r="L171" s="1" t="n"/>
      <c r="M171" s="2" t="n"/>
      <c r="N171" s="2" t="n"/>
      <c r="O171" s="2" t="n"/>
      <c r="P171" s="2" t="n"/>
      <c r="Q171" s="2" t="n"/>
      <c r="R171" s="2" t="n"/>
      <c r="S171" s="1" t="inlineStr">
        <is>
          <t>xds:SQL:Link Server: TAURO</t>
        </is>
      </c>
      <c r="T171" s="91" t="n"/>
      <c r="U171" s="86" t="n"/>
      <c r="V171" s="86" t="n"/>
      <c r="W171" s="2" t="n"/>
      <c r="X171" s="87" t="n"/>
    </row>
    <row r="172">
      <c r="A172" s="4" t="n"/>
      <c r="B172" s="65" t="n"/>
      <c r="C172" s="65" t="n"/>
      <c r="D172" s="65" t="n"/>
      <c r="E172" s="2" t="n"/>
      <c r="F172" s="2" t="n"/>
      <c r="L172" s="1" t="n"/>
      <c r="M172" s="2" t="n"/>
      <c r="N172" s="2" t="n"/>
      <c r="O172" s="2" t="n"/>
      <c r="P172" s="2" t="n"/>
      <c r="Q172" s="2" t="n"/>
      <c r="R172" s="2" t="n"/>
      <c r="S172" s="1" t="inlineStr">
        <is>
          <t>master:SQL:Bd del sistema:PERSEO</t>
        </is>
      </c>
      <c r="T172" s="91" t="n"/>
      <c r="U172" s="86" t="n"/>
      <c r="V172" s="86" t="n"/>
      <c r="W172" s="2" t="n"/>
      <c r="X172" s="87" t="n"/>
    </row>
    <row r="173">
      <c r="A173" s="4" t="n"/>
      <c r="B173" s="65" t="n"/>
      <c r="C173" s="65" t="n"/>
      <c r="D173" s="65" t="n"/>
      <c r="E173" s="2" t="n"/>
      <c r="F173" s="2" t="n"/>
      <c r="L173" s="1" t="n"/>
      <c r="M173" s="2" t="n"/>
      <c r="N173" s="2" t="n"/>
      <c r="O173" s="2" t="n"/>
      <c r="P173" s="2" t="n"/>
      <c r="Q173" s="2" t="n"/>
      <c r="R173" s="2" t="n"/>
      <c r="S173" s="1" t="inlineStr">
        <is>
          <t>model:SQL:Bd del sistema:PERSEO</t>
        </is>
      </c>
      <c r="T173" s="91" t="n"/>
      <c r="U173" s="86" t="n"/>
      <c r="V173" s="86" t="n"/>
      <c r="W173" s="2" t="n"/>
      <c r="X173" s="87" t="n"/>
    </row>
    <row r="174">
      <c r="A174" s="4" t="n"/>
      <c r="B174" s="65" t="n"/>
      <c r="C174" s="65" t="n"/>
      <c r="D174" s="65" t="n"/>
      <c r="E174" s="2" t="n"/>
      <c r="F174" s="2" t="n"/>
      <c r="L174" s="1" t="n"/>
      <c r="M174" s="2" t="n"/>
      <c r="N174" s="2" t="n"/>
      <c r="O174" s="2" t="n"/>
      <c r="P174" s="2" t="n"/>
      <c r="Q174" s="2" t="n"/>
      <c r="R174" s="2" t="n"/>
      <c r="S174" s="1" t="inlineStr">
        <is>
          <t>msdb:SQL:Bd del sistema:PERSEO</t>
        </is>
      </c>
      <c r="T174" s="91" t="n"/>
      <c r="U174" s="86" t="n"/>
      <c r="V174" s="86" t="n"/>
      <c r="W174" s="2" t="n"/>
      <c r="X174" s="87" t="n"/>
    </row>
    <row r="175">
      <c r="A175" s="4" t="n"/>
      <c r="B175" s="65" t="n"/>
      <c r="C175" s="65" t="n"/>
      <c r="D175" s="65" t="n"/>
      <c r="E175" s="2" t="n"/>
      <c r="F175" s="2" t="n"/>
      <c r="L175" s="1" t="n"/>
      <c r="M175" s="2" t="n"/>
      <c r="N175" s="2" t="n"/>
      <c r="O175" s="2" t="n"/>
      <c r="P175" s="2" t="n"/>
      <c r="Q175" s="2" t="n"/>
      <c r="R175" s="2" t="n"/>
      <c r="S175" s="1" t="inlineStr">
        <is>
          <t>ReportServer:SQL:Bd del sistema:PERSEO</t>
        </is>
      </c>
      <c r="T175" s="91" t="n"/>
      <c r="U175" s="86" t="n"/>
      <c r="V175" s="86" t="n"/>
      <c r="W175" s="2" t="n"/>
      <c r="X175" s="87" t="n"/>
    </row>
    <row r="176">
      <c r="A176" s="4" t="n"/>
      <c r="B176" s="65" t="n"/>
      <c r="C176" s="65" t="n"/>
      <c r="D176" s="65" t="n"/>
      <c r="E176" s="2" t="n"/>
      <c r="F176" s="2" t="n"/>
      <c r="L176" s="1" t="n"/>
      <c r="M176" s="2" t="n"/>
      <c r="N176" s="2" t="n"/>
      <c r="O176" s="2" t="n"/>
      <c r="P176" s="2" t="n"/>
      <c r="Q176" s="2" t="n"/>
      <c r="R176" s="2" t="n"/>
      <c r="S176" s="1" t="inlineStr">
        <is>
          <t>ReportServerTempDB:SQL:Bd del sistema:PERSEO</t>
        </is>
      </c>
      <c r="T176" s="91" t="n"/>
      <c r="U176" s="86" t="n"/>
      <c r="V176" s="86" t="n"/>
      <c r="W176" s="2" t="n"/>
      <c r="X176" s="87" t="n"/>
    </row>
    <row r="177">
      <c r="A177" s="4" t="n"/>
      <c r="B177" s="65" t="n"/>
      <c r="C177" s="65" t="n"/>
      <c r="D177" s="65" t="n"/>
      <c r="E177" s="2" t="n"/>
      <c r="F177" s="2" t="n"/>
      <c r="L177" s="1" t="n"/>
      <c r="M177" s="2" t="n"/>
      <c r="N177" s="2" t="n"/>
      <c r="O177" s="2" t="n"/>
      <c r="P177" s="2" t="n"/>
      <c r="Q177" s="2" t="n"/>
      <c r="R177" s="2" t="n"/>
      <c r="S177" s="1" t="inlineStr">
        <is>
          <t>tempdb:SQL:Bd del sistema:PERSEO</t>
        </is>
      </c>
      <c r="T177" s="91" t="n"/>
      <c r="U177" s="86" t="n"/>
      <c r="V177" s="86" t="n"/>
      <c r="W177" s="2" t="n"/>
      <c r="X177" s="87" t="n"/>
    </row>
    <row r="178">
      <c r="A178" s="4" t="n"/>
      <c r="B178" s="65" t="n"/>
      <c r="C178" s="65" t="n"/>
      <c r="D178" s="65" t="n"/>
      <c r="E178" s="2" t="n"/>
      <c r="F178" s="2" t="n"/>
      <c r="L178" s="1" t="n"/>
      <c r="M178" s="2" t="n"/>
      <c r="N178" s="2" t="n"/>
      <c r="O178" s="2" t="n"/>
      <c r="P178" s="2" t="n"/>
      <c r="Q178" s="2" t="n"/>
      <c r="R178" s="2" t="n"/>
      <c r="S178" s="1" t="inlineStr">
        <is>
          <t>Vigilancia_Control:SQL:Aplicación V&amp;C:PERSEO</t>
        </is>
      </c>
      <c r="T178" s="91" t="n"/>
      <c r="U178" s="86" t="n"/>
      <c r="V178" s="86" t="n"/>
      <c r="W178" s="2" t="n"/>
      <c r="X178" s="87" t="n"/>
    </row>
    <row r="179">
      <c r="A179" s="4" t="n"/>
      <c r="B179" s="65" t="n"/>
      <c r="C179" s="65" t="n"/>
      <c r="D179" s="65" t="n"/>
      <c r="E179" s="2" t="n"/>
      <c r="F179" s="2" t="n"/>
      <c r="L179" s="1" t="n"/>
      <c r="M179" s="2" t="n"/>
      <c r="N179" s="2" t="n"/>
      <c r="O179" s="2" t="n"/>
      <c r="P179" s="2" t="n"/>
      <c r="Q179" s="2" t="n"/>
      <c r="R179" s="2" t="n"/>
      <c r="T179" s="91" t="n"/>
      <c r="U179" s="86" t="n"/>
      <c r="V179" s="86" t="n"/>
      <c r="W179" s="2" t="n"/>
      <c r="X179" s="87" t="n"/>
    </row>
    <row r="180">
      <c r="A180" s="4" t="n"/>
      <c r="B180" s="65" t="n"/>
      <c r="C180" s="65" t="n"/>
      <c r="D180" s="65" t="n"/>
      <c r="E180" s="2" t="n"/>
      <c r="F180" s="2" t="n"/>
      <c r="L180" s="1" t="n"/>
      <c r="M180" s="2" t="n"/>
      <c r="N180" s="2" t="n"/>
      <c r="O180" s="2" t="n"/>
      <c r="P180" s="2" t="n"/>
      <c r="Q180" s="2" t="n"/>
      <c r="R180" s="2" t="n"/>
      <c r="T180" s="91" t="n"/>
      <c r="U180" s="86" t="n"/>
      <c r="V180" s="86" t="n"/>
      <c r="W180" s="2" t="n"/>
      <c r="X180" s="87" t="n"/>
    </row>
    <row r="181">
      <c r="A181" s="4" t="n"/>
      <c r="B181" s="65" t="n"/>
      <c r="C181" s="65" t="n"/>
      <c r="D181" s="65" t="n"/>
      <c r="E181" s="2" t="n"/>
      <c r="F181" s="2" t="n"/>
      <c r="L181" s="1" t="n"/>
      <c r="M181" s="2" t="n"/>
      <c r="N181" s="2" t="n"/>
      <c r="O181" s="2" t="n"/>
      <c r="P181" s="2" t="n"/>
      <c r="Q181" s="2" t="n"/>
      <c r="R181" s="2" t="n"/>
      <c r="T181" s="91" t="n"/>
      <c r="U181" s="86" t="n"/>
      <c r="V181" s="86" t="n"/>
      <c r="W181" s="2" t="n"/>
      <c r="X181" s="87" t="n"/>
    </row>
    <row r="182">
      <c r="A182" s="4" t="n"/>
      <c r="B182" s="65" t="n"/>
      <c r="C182" s="65" t="n"/>
      <c r="D182" s="65" t="n"/>
      <c r="E182" s="2" t="n"/>
      <c r="F182" s="2" t="n"/>
      <c r="L182" s="1" t="n"/>
      <c r="M182" s="2" t="n"/>
      <c r="N182" s="2" t="n"/>
      <c r="O182" s="2" t="n"/>
      <c r="P182" s="2" t="n"/>
      <c r="Q182" s="2" t="n"/>
      <c r="R182" s="2" t="n"/>
      <c r="T182" s="91" t="n"/>
      <c r="U182" s="86" t="n"/>
      <c r="V182" s="86" t="n"/>
      <c r="W182" s="2" t="n"/>
      <c r="X182" s="87" t="n"/>
    </row>
    <row r="183">
      <c r="A183" s="4" t="n"/>
      <c r="B183" s="65" t="n"/>
      <c r="C183" s="65" t="n"/>
      <c r="D183" s="65" t="n"/>
      <c r="E183" s="2" t="n"/>
      <c r="F183" s="2" t="n"/>
      <c r="L183" s="1" t="n"/>
      <c r="M183" s="2" t="n"/>
      <c r="N183" s="2" t="n"/>
      <c r="O183" s="2" t="n"/>
      <c r="P183" s="2" t="n"/>
      <c r="Q183" s="2" t="n"/>
      <c r="R183" s="2" t="n"/>
      <c r="T183" s="91" t="n"/>
      <c r="U183" s="86" t="n"/>
      <c r="V183" s="86" t="n"/>
      <c r="W183" s="2" t="n"/>
      <c r="X183" s="87" t="n"/>
    </row>
    <row r="184">
      <c r="A184" s="4" t="n"/>
      <c r="B184" s="65" t="n"/>
      <c r="C184" s="65" t="n"/>
      <c r="D184" s="65" t="n"/>
      <c r="E184" s="2" t="n"/>
      <c r="F184" s="2" t="n"/>
      <c r="L184" s="1" t="n"/>
      <c r="M184" s="2" t="n"/>
      <c r="N184" s="2" t="n"/>
      <c r="O184" s="2" t="n"/>
      <c r="P184" s="2" t="n"/>
      <c r="Q184" s="2" t="n"/>
      <c r="R184" s="2" t="n"/>
      <c r="T184" s="91" t="n"/>
      <c r="U184" s="86" t="n"/>
      <c r="V184" s="86" t="n"/>
      <c r="W184" s="2" t="n"/>
      <c r="X184" s="87" t="n"/>
    </row>
    <row r="185">
      <c r="A185" s="4" t="n"/>
      <c r="B185" s="65" t="n"/>
      <c r="C185" s="65" t="n"/>
      <c r="D185" s="65" t="n"/>
      <c r="E185" s="2" t="n"/>
      <c r="F185" s="2" t="n"/>
      <c r="L185" s="1" t="n"/>
      <c r="M185" s="2" t="n"/>
      <c r="N185" s="2" t="n"/>
      <c r="O185" s="2" t="n"/>
      <c r="P185" s="2" t="n"/>
      <c r="Q185" s="2" t="n"/>
      <c r="R185" s="2" t="n"/>
      <c r="T185" s="91" t="n"/>
      <c r="U185" s="86" t="n"/>
      <c r="V185" s="86" t="n"/>
      <c r="W185" s="2" t="n"/>
      <c r="X185" s="87" t="n"/>
    </row>
    <row r="186">
      <c r="A186" s="4" t="n"/>
      <c r="B186" s="65" t="n"/>
      <c r="C186" s="65" t="n"/>
      <c r="D186" s="65" t="n"/>
      <c r="E186" s="2" t="n"/>
      <c r="F186" s="2" t="n"/>
      <c r="L186" s="1" t="n"/>
      <c r="M186" s="2" t="n"/>
      <c r="N186" s="2" t="n"/>
      <c r="O186" s="2" t="n"/>
      <c r="P186" s="2" t="n"/>
      <c r="Q186" s="2" t="n"/>
      <c r="R186" s="2" t="n"/>
      <c r="T186" s="91" t="n"/>
      <c r="U186" s="86" t="n"/>
      <c r="V186" s="86" t="n"/>
      <c r="W186" s="2" t="n"/>
      <c r="X186" s="87" t="n"/>
    </row>
    <row r="187">
      <c r="A187" s="4" t="n"/>
      <c r="B187" s="65" t="n"/>
      <c r="C187" s="65" t="n"/>
      <c r="D187" s="65" t="n"/>
      <c r="E187" s="2" t="n"/>
      <c r="F187" s="2" t="n"/>
      <c r="L187" s="1" t="n"/>
      <c r="M187" s="2" t="n"/>
      <c r="N187" s="2" t="n"/>
      <c r="O187" s="2" t="n"/>
      <c r="P187" s="2" t="n"/>
      <c r="Q187" s="2" t="n"/>
      <c r="R187" s="2" t="n"/>
      <c r="T187" s="91" t="n"/>
      <c r="U187" s="86" t="n"/>
      <c r="V187" s="86" t="n"/>
      <c r="W187" s="2" t="n"/>
      <c r="X187" s="87" t="n"/>
    </row>
    <row r="188">
      <c r="A188" s="4" t="n"/>
      <c r="B188" s="65" t="n"/>
      <c r="C188" s="65" t="n"/>
      <c r="D188" s="65" t="n"/>
      <c r="E188" s="2" t="n"/>
      <c r="F188" s="2" t="n"/>
      <c r="L188" s="1" t="n"/>
      <c r="M188" s="2" t="n"/>
      <c r="N188" s="2" t="n"/>
      <c r="O188" s="2" t="n"/>
      <c r="P188" s="2" t="n"/>
      <c r="Q188" s="2" t="n"/>
      <c r="R188" s="2" t="n"/>
      <c r="T188" s="91" t="n"/>
      <c r="U188" s="86" t="n"/>
      <c r="V188" s="86" t="n"/>
      <c r="W188" s="2" t="n"/>
      <c r="X188" s="87" t="n"/>
    </row>
    <row r="189">
      <c r="A189" s="4" t="n"/>
      <c r="B189" s="65" t="n"/>
      <c r="C189" s="65" t="n"/>
      <c r="D189" s="65" t="n"/>
      <c r="E189" s="2" t="n"/>
      <c r="F189" s="2" t="n"/>
      <c r="L189" s="1" t="n"/>
      <c r="M189" s="2" t="n"/>
      <c r="N189" s="2" t="n"/>
      <c r="O189" s="2" t="n"/>
      <c r="P189" s="2" t="n"/>
      <c r="Q189" s="2" t="n"/>
      <c r="R189" s="2" t="n"/>
      <c r="T189" s="91" t="n"/>
      <c r="U189" s="86" t="n"/>
      <c r="V189" s="86" t="n"/>
      <c r="W189" s="2" t="n"/>
      <c r="X189" s="87" t="n"/>
    </row>
    <row r="190">
      <c r="A190" s="4" t="n"/>
      <c r="B190" s="65" t="n"/>
      <c r="C190" s="65" t="n"/>
      <c r="D190" s="65" t="n"/>
      <c r="E190" s="2" t="n"/>
      <c r="F190" s="2" t="n"/>
      <c r="L190" s="1" t="n"/>
      <c r="M190" s="2" t="n"/>
      <c r="N190" s="2" t="n"/>
      <c r="O190" s="2" t="n"/>
      <c r="P190" s="2" t="n"/>
      <c r="Q190" s="2" t="n"/>
      <c r="R190" s="2" t="n"/>
      <c r="T190" s="91" t="n"/>
      <c r="U190" s="86" t="n"/>
      <c r="V190" s="86" t="n"/>
      <c r="W190" s="2" t="n"/>
      <c r="X190" s="87" t="n"/>
    </row>
    <row r="191">
      <c r="A191" s="4" t="n"/>
      <c r="B191" s="65" t="n"/>
      <c r="C191" s="65" t="n"/>
      <c r="D191" s="65" t="n"/>
      <c r="E191" s="2" t="n"/>
      <c r="F191" s="2" t="n"/>
      <c r="L191" s="1" t="n"/>
      <c r="M191" s="2" t="n"/>
      <c r="N191" s="2" t="n"/>
      <c r="O191" s="2" t="n"/>
      <c r="P191" s="2" t="n"/>
      <c r="Q191" s="2" t="n"/>
      <c r="R191" s="2" t="n"/>
      <c r="T191" s="91" t="n"/>
      <c r="U191" s="86" t="n"/>
      <c r="V191" s="86" t="n"/>
      <c r="W191" s="2" t="n"/>
      <c r="X191" s="87" t="n"/>
    </row>
    <row r="192">
      <c r="A192" s="4" t="n"/>
      <c r="B192" s="65" t="n"/>
      <c r="C192" s="65" t="n"/>
      <c r="D192" s="65" t="n"/>
      <c r="E192" s="2" t="n"/>
      <c r="F192" s="2" t="n"/>
      <c r="L192" s="1" t="n"/>
      <c r="M192" s="2" t="n"/>
      <c r="N192" s="2" t="n"/>
      <c r="O192" s="2" t="n"/>
      <c r="P192" s="2" t="n"/>
      <c r="Q192" s="2" t="n"/>
      <c r="R192" s="2" t="n"/>
      <c r="T192" s="91" t="n"/>
      <c r="U192" s="86" t="n"/>
      <c r="V192" s="86" t="n"/>
      <c r="W192" s="2" t="n"/>
      <c r="X192" s="87" t="n"/>
    </row>
    <row r="193">
      <c r="A193" s="4" t="n"/>
      <c r="B193" s="65" t="n"/>
      <c r="C193" s="65" t="n"/>
      <c r="D193" s="65" t="n"/>
      <c r="E193" s="2" t="n"/>
      <c r="F193" s="2" t="n"/>
      <c r="L193" s="1" t="n"/>
      <c r="M193" s="2" t="n"/>
      <c r="N193" s="2" t="n"/>
      <c r="O193" s="2" t="n"/>
      <c r="P193" s="2" t="n"/>
      <c r="Q193" s="2" t="n"/>
      <c r="R193" s="2" t="n"/>
      <c r="T193" s="91" t="n"/>
      <c r="U193" s="86" t="n"/>
      <c r="V193" s="86" t="n"/>
      <c r="W193" s="2" t="n"/>
      <c r="X193" s="87" t="n"/>
    </row>
    <row r="194">
      <c r="A194" s="4" t="n"/>
      <c r="B194" s="65" t="n"/>
      <c r="C194" s="65" t="n"/>
      <c r="D194" s="65" t="n"/>
      <c r="E194" s="2" t="n"/>
      <c r="F194" s="2" t="n"/>
      <c r="L194" s="1" t="n"/>
      <c r="M194" s="2" t="n"/>
      <c r="N194" s="2" t="n"/>
      <c r="O194" s="2" t="n"/>
      <c r="P194" s="2" t="n"/>
      <c r="Q194" s="2" t="n"/>
      <c r="R194" s="2" t="n"/>
      <c r="T194" s="91" t="n"/>
      <c r="U194" s="86" t="n"/>
      <c r="V194" s="86" t="n"/>
      <c r="W194" s="2" t="n"/>
      <c r="X194" s="87" t="n"/>
    </row>
    <row r="195">
      <c r="A195" s="4" t="n"/>
      <c r="B195" s="65" t="n"/>
      <c r="C195" s="65" t="n"/>
      <c r="D195" s="65" t="n"/>
      <c r="E195" s="2" t="n"/>
      <c r="F195" s="2" t="n"/>
      <c r="L195" s="1" t="n"/>
      <c r="M195" s="2" t="n"/>
      <c r="N195" s="2" t="n"/>
      <c r="O195" s="2" t="n"/>
      <c r="P195" s="2" t="n"/>
      <c r="Q195" s="2" t="n"/>
      <c r="R195" s="2" t="n"/>
      <c r="T195" s="91" t="n"/>
      <c r="U195" s="86" t="n"/>
      <c r="V195" s="86" t="n"/>
      <c r="W195" s="2" t="n"/>
      <c r="X195" s="87" t="n"/>
    </row>
    <row r="196">
      <c r="A196" s="4" t="n"/>
      <c r="B196" s="65" t="n"/>
      <c r="C196" s="65" t="n"/>
      <c r="D196" s="65" t="n"/>
      <c r="E196" s="2" t="n"/>
      <c r="F196" s="2" t="n"/>
      <c r="L196" s="1" t="n"/>
      <c r="M196" s="2" t="n"/>
      <c r="N196" s="2" t="n"/>
      <c r="O196" s="2" t="n"/>
      <c r="P196" s="2" t="n"/>
      <c r="Q196" s="2" t="n"/>
      <c r="R196" s="2" t="n"/>
      <c r="T196" s="91" t="n"/>
      <c r="U196" s="86" t="n"/>
      <c r="V196" s="86" t="n"/>
      <c r="W196" s="2" t="n"/>
      <c r="X196" s="87" t="n"/>
    </row>
    <row r="197">
      <c r="A197" s="4" t="n"/>
      <c r="B197" s="65" t="n"/>
      <c r="C197" s="65" t="n"/>
      <c r="D197" s="65" t="n"/>
      <c r="E197" s="2" t="n"/>
      <c r="F197" s="2" t="n"/>
      <c r="L197" s="1" t="n"/>
      <c r="M197" s="2" t="n"/>
      <c r="N197" s="2" t="n"/>
      <c r="O197" s="2" t="n"/>
      <c r="P197" s="2" t="n"/>
      <c r="Q197" s="2" t="n"/>
      <c r="R197" s="2" t="n"/>
      <c r="T197" s="91" t="n"/>
      <c r="U197" s="86" t="n"/>
      <c r="V197" s="86" t="n"/>
      <c r="W197" s="2" t="n"/>
      <c r="X197" s="87" t="n"/>
    </row>
    <row r="198">
      <c r="A198" s="4" t="n"/>
      <c r="B198" s="65" t="n"/>
      <c r="C198" s="65" t="n"/>
      <c r="D198" s="65" t="n"/>
      <c r="E198" s="2" t="n"/>
      <c r="F198" s="2" t="n"/>
      <c r="L198" s="1" t="n"/>
      <c r="M198" s="2" t="n"/>
      <c r="N198" s="2" t="n"/>
      <c r="O198" s="2" t="n"/>
      <c r="P198" s="2" t="n"/>
      <c r="Q198" s="2" t="n"/>
      <c r="R198" s="2" t="n"/>
      <c r="T198" s="91" t="n"/>
      <c r="U198" s="86" t="n"/>
      <c r="V198" s="86" t="n"/>
      <c r="W198" s="2" t="n"/>
      <c r="X198" s="87" t="n"/>
    </row>
    <row r="199">
      <c r="A199" s="4" t="n"/>
      <c r="B199" s="65" t="n"/>
      <c r="C199" s="65" t="n"/>
      <c r="D199" s="65" t="n"/>
      <c r="E199" s="2" t="n"/>
      <c r="F199" s="2" t="n"/>
      <c r="L199" s="1" t="n"/>
      <c r="M199" s="2" t="n"/>
      <c r="N199" s="2" t="n"/>
      <c r="O199" s="2" t="n"/>
      <c r="P199" s="2" t="n"/>
      <c r="Q199" s="2" t="n"/>
      <c r="R199" s="2" t="n"/>
      <c r="T199" s="91" t="n"/>
      <c r="U199" s="86" t="n"/>
      <c r="V199" s="86" t="n"/>
      <c r="W199" s="2" t="n"/>
      <c r="X199" s="87" t="n"/>
    </row>
    <row r="200">
      <c r="A200" s="4" t="n"/>
      <c r="B200" s="65" t="n"/>
      <c r="C200" s="65" t="n"/>
      <c r="D200" s="65" t="n"/>
      <c r="E200" s="2" t="n"/>
      <c r="F200" s="2" t="n"/>
      <c r="L200" s="1" t="n"/>
      <c r="M200" s="2" t="n"/>
      <c r="N200" s="2" t="n"/>
      <c r="O200" s="2" t="n"/>
      <c r="P200" s="2" t="n"/>
      <c r="Q200" s="2" t="n"/>
      <c r="R200" s="2" t="n"/>
      <c r="T200" s="91" t="n"/>
      <c r="U200" s="86" t="n"/>
      <c r="V200" s="86" t="n"/>
      <c r="W200" s="2" t="n"/>
      <c r="X200" s="87" t="n"/>
    </row>
    <row r="201">
      <c r="A201" s="4" t="n"/>
      <c r="B201" s="65" t="n"/>
      <c r="C201" s="65" t="n"/>
      <c r="D201" s="65" t="n"/>
      <c r="E201" s="2" t="n"/>
      <c r="F201" s="2" t="n"/>
      <c r="L201" s="1" t="n"/>
      <c r="M201" s="2" t="n"/>
      <c r="N201" s="2" t="n"/>
      <c r="O201" s="2" t="n"/>
      <c r="P201" s="2" t="n"/>
      <c r="Q201" s="2" t="n"/>
      <c r="R201" s="2" t="n"/>
      <c r="T201" s="91" t="n"/>
      <c r="U201" s="86" t="n"/>
      <c r="V201" s="86" t="n"/>
      <c r="W201" s="2" t="n"/>
      <c r="X201" s="87" t="n"/>
    </row>
    <row r="202">
      <c r="A202" s="4" t="n"/>
      <c r="B202" s="65" t="n"/>
      <c r="C202" s="65" t="n"/>
      <c r="D202" s="65" t="n"/>
      <c r="E202" s="2" t="n"/>
      <c r="F202" s="2" t="n"/>
      <c r="L202" s="1" t="n"/>
      <c r="M202" s="2" t="n"/>
      <c r="N202" s="2" t="n"/>
      <c r="O202" s="2" t="n"/>
      <c r="P202" s="2" t="n"/>
      <c r="Q202" s="2" t="n"/>
      <c r="R202" s="2" t="n"/>
      <c r="T202" s="91" t="n"/>
      <c r="U202" s="86" t="n"/>
      <c r="V202" s="86" t="n"/>
      <c r="W202" s="2" t="n"/>
      <c r="X202" s="87" t="n"/>
    </row>
    <row r="203">
      <c r="A203" s="4" t="n"/>
      <c r="B203" s="65" t="n"/>
      <c r="C203" s="65" t="n"/>
      <c r="D203" s="65" t="n"/>
      <c r="E203" s="2" t="n"/>
      <c r="F203" s="2" t="n"/>
      <c r="L203" s="1" t="n"/>
      <c r="M203" s="2" t="n"/>
      <c r="N203" s="2" t="n"/>
      <c r="O203" s="2" t="n"/>
      <c r="P203" s="2" t="n"/>
      <c r="Q203" s="2" t="n"/>
      <c r="R203" s="2" t="n"/>
      <c r="T203" s="91" t="n"/>
      <c r="U203" s="86" t="n"/>
      <c r="V203" s="86" t="n"/>
      <c r="W203" s="2" t="n"/>
      <c r="X203" s="87" t="n"/>
    </row>
    <row r="204">
      <c r="A204" s="4" t="n"/>
      <c r="B204" s="65" t="n"/>
      <c r="C204" s="65" t="n"/>
      <c r="D204" s="65" t="n"/>
      <c r="E204" s="2" t="n"/>
      <c r="F204" s="2" t="n"/>
      <c r="L204" s="1" t="n"/>
      <c r="M204" s="2" t="n"/>
      <c r="N204" s="2" t="n"/>
      <c r="O204" s="2" t="n"/>
      <c r="P204" s="2" t="n"/>
      <c r="Q204" s="2" t="n"/>
      <c r="R204" s="2" t="n"/>
      <c r="T204" s="91" t="n"/>
      <c r="U204" s="86" t="n"/>
      <c r="V204" s="86" t="n"/>
      <c r="W204" s="2" t="n"/>
      <c r="X204" s="87" t="n"/>
    </row>
    <row r="205">
      <c r="A205" s="4" t="n"/>
      <c r="B205" s="65" t="n"/>
      <c r="C205" s="65" t="n"/>
      <c r="D205" s="65" t="n"/>
      <c r="E205" s="2" t="n"/>
      <c r="F205" s="2" t="n"/>
      <c r="L205" s="1" t="n"/>
      <c r="M205" s="2" t="n"/>
      <c r="N205" s="2" t="n"/>
      <c r="O205" s="2" t="n"/>
      <c r="P205" s="2" t="n"/>
      <c r="Q205" s="2" t="n"/>
      <c r="R205" s="2" t="n"/>
      <c r="T205" s="91" t="n"/>
      <c r="U205" s="86" t="n"/>
      <c r="V205" s="86" t="n"/>
      <c r="W205" s="2" t="n"/>
      <c r="X205" s="87" t="n"/>
    </row>
    <row r="206">
      <c r="A206" s="4" t="n"/>
      <c r="B206" s="65" t="n"/>
      <c r="C206" s="65" t="n"/>
      <c r="D206" s="65" t="n"/>
      <c r="E206" s="2" t="n"/>
      <c r="F206" s="2" t="n"/>
      <c r="L206" s="1" t="n"/>
      <c r="M206" s="2" t="n"/>
      <c r="N206" s="2" t="n"/>
      <c r="O206" s="2" t="n"/>
      <c r="P206" s="2" t="n"/>
      <c r="Q206" s="2" t="n"/>
      <c r="R206" s="2" t="n"/>
      <c r="T206" s="91" t="n"/>
      <c r="U206" s="86" t="n"/>
      <c r="V206" s="86" t="n"/>
      <c r="W206" s="2" t="n"/>
      <c r="X206" s="87" t="n"/>
    </row>
    <row r="207">
      <c r="A207" s="4" t="n"/>
      <c r="B207" s="65" t="n"/>
      <c r="C207" s="65" t="n"/>
      <c r="D207" s="65" t="n"/>
      <c r="E207" s="2" t="n"/>
      <c r="F207" s="2" t="n"/>
      <c r="L207" s="1" t="n"/>
      <c r="M207" s="2" t="n"/>
      <c r="N207" s="2" t="n"/>
      <c r="O207" s="2" t="n"/>
      <c r="P207" s="2" t="n"/>
      <c r="Q207" s="2" t="n"/>
      <c r="R207" s="2" t="n"/>
      <c r="T207" s="91" t="n"/>
      <c r="U207" s="86" t="n"/>
      <c r="V207" s="86" t="n"/>
      <c r="W207" s="2" t="n"/>
      <c r="X207" s="87" t="n"/>
    </row>
    <row r="208">
      <c r="A208" s="4" t="n"/>
      <c r="B208" s="65" t="n"/>
      <c r="C208" s="65" t="n"/>
      <c r="D208" s="65" t="n"/>
      <c r="E208" s="2" t="n"/>
      <c r="F208" s="2" t="n"/>
      <c r="L208" s="1" t="n"/>
      <c r="M208" s="2" t="n"/>
      <c r="N208" s="2" t="n"/>
      <c r="O208" s="2" t="n"/>
      <c r="P208" s="2" t="n"/>
      <c r="Q208" s="2" t="n"/>
      <c r="R208" s="2" t="n"/>
      <c r="T208" s="91" t="n"/>
      <c r="U208" s="86" t="n"/>
      <c r="V208" s="86" t="n"/>
      <c r="W208" s="2" t="n"/>
      <c r="X208" s="87" t="n"/>
    </row>
    <row r="209">
      <c r="A209" s="4" t="n"/>
      <c r="B209" s="65" t="n"/>
      <c r="C209" s="65" t="n"/>
      <c r="D209" s="65" t="n"/>
      <c r="E209" s="2" t="n"/>
      <c r="F209" s="2" t="n"/>
      <c r="L209" s="1" t="n"/>
      <c r="M209" s="2" t="n"/>
      <c r="N209" s="2" t="n"/>
      <c r="O209" s="2" t="n"/>
      <c r="P209" s="2" t="n"/>
      <c r="Q209" s="2" t="n"/>
      <c r="R209" s="2" t="n"/>
      <c r="T209" s="91" t="n"/>
      <c r="U209" s="86" t="n"/>
      <c r="V209" s="86" t="n"/>
      <c r="W209" s="2" t="n"/>
      <c r="X209" s="87" t="n"/>
    </row>
    <row r="210">
      <c r="A210" s="4" t="n"/>
      <c r="B210" s="65" t="n"/>
      <c r="C210" s="65" t="n"/>
      <c r="D210" s="65" t="n"/>
      <c r="E210" s="2" t="n"/>
      <c r="F210" s="2" t="n"/>
      <c r="L210" s="1" t="n"/>
      <c r="M210" s="2" t="n"/>
      <c r="N210" s="2" t="n"/>
      <c r="O210" s="2" t="n"/>
      <c r="P210" s="2" t="n"/>
      <c r="Q210" s="2" t="n"/>
      <c r="R210" s="2" t="n"/>
      <c r="T210" s="91" t="n"/>
      <c r="U210" s="86" t="n"/>
      <c r="V210" s="86" t="n"/>
      <c r="W210" s="2" t="n"/>
      <c r="X210" s="87" t="n"/>
    </row>
    <row r="211">
      <c r="A211" s="4" t="n"/>
      <c r="B211" s="65" t="n"/>
      <c r="C211" s="65" t="n"/>
      <c r="D211" s="65" t="n"/>
      <c r="E211" s="2" t="n"/>
      <c r="F211" s="2" t="n"/>
      <c r="L211" s="1" t="n"/>
      <c r="M211" s="2" t="n"/>
      <c r="N211" s="2" t="n"/>
      <c r="O211" s="2" t="n"/>
      <c r="P211" s="2" t="n"/>
      <c r="Q211" s="2" t="n"/>
      <c r="R211" s="2" t="n"/>
      <c r="T211" s="91" t="n"/>
      <c r="U211" s="86" t="n"/>
      <c r="V211" s="86" t="n"/>
      <c r="W211" s="2" t="n"/>
      <c r="X211" s="87" t="n"/>
    </row>
    <row r="212">
      <c r="A212" s="4" t="n"/>
      <c r="B212" s="65" t="n"/>
      <c r="C212" s="65" t="n"/>
      <c r="D212" s="65" t="n"/>
      <c r="E212" s="2" t="n"/>
      <c r="F212" s="2" t="n"/>
      <c r="L212" s="1" t="n"/>
      <c r="M212" s="2" t="n"/>
      <c r="N212" s="2" t="n"/>
      <c r="O212" s="2" t="n"/>
      <c r="P212" s="2" t="n"/>
      <c r="Q212" s="2" t="n"/>
      <c r="R212" s="2" t="n"/>
      <c r="T212" s="91" t="n"/>
      <c r="U212" s="86" t="n"/>
      <c r="V212" s="86" t="n"/>
      <c r="W212" s="2" t="n"/>
      <c r="X212" s="87" t="n"/>
    </row>
    <row r="213">
      <c r="A213" s="4" t="n"/>
      <c r="B213" s="65" t="n"/>
      <c r="C213" s="65" t="n"/>
      <c r="D213" s="65" t="n"/>
      <c r="E213" s="2" t="n"/>
      <c r="F213" s="2" t="n"/>
      <c r="L213" s="1" t="n"/>
      <c r="M213" s="2" t="n"/>
      <c r="N213" s="2" t="n"/>
      <c r="O213" s="2" t="n"/>
      <c r="P213" s="2" t="n"/>
      <c r="Q213" s="2" t="n"/>
      <c r="R213" s="2" t="n"/>
      <c r="T213" s="91" t="n"/>
      <c r="U213" s="86" t="n"/>
      <c r="V213" s="86" t="n"/>
      <c r="W213" s="2" t="n"/>
      <c r="X213" s="87" t="n"/>
    </row>
    <row r="214">
      <c r="A214" s="4" t="n"/>
      <c r="B214" s="65" t="n"/>
      <c r="C214" s="65" t="n"/>
      <c r="D214" s="65" t="n"/>
      <c r="E214" s="2" t="n"/>
      <c r="F214" s="2" t="n"/>
      <c r="L214" s="1" t="n"/>
      <c r="M214" s="2" t="n"/>
      <c r="N214" s="2" t="n"/>
      <c r="O214" s="2" t="n"/>
      <c r="P214" s="2" t="n"/>
      <c r="Q214" s="2" t="n"/>
      <c r="R214" s="2" t="n"/>
      <c r="T214" s="91" t="n"/>
      <c r="U214" s="86" t="n"/>
      <c r="V214" s="86" t="n"/>
      <c r="W214" s="2" t="n"/>
      <c r="X214" s="87" t="n"/>
    </row>
    <row r="215">
      <c r="A215" s="4" t="n"/>
      <c r="B215" s="65" t="n"/>
      <c r="C215" s="65" t="n"/>
      <c r="D215" s="65" t="n"/>
      <c r="E215" s="2" t="n"/>
      <c r="F215" s="2" t="n"/>
      <c r="L215" s="1" t="n"/>
      <c r="M215" s="2" t="n"/>
      <c r="N215" s="2" t="n"/>
      <c r="O215" s="2" t="n"/>
      <c r="P215" s="2" t="n"/>
      <c r="Q215" s="2" t="n"/>
      <c r="R215" s="2" t="n"/>
      <c r="T215" s="91" t="n"/>
      <c r="U215" s="86" t="n"/>
      <c r="V215" s="86" t="n"/>
      <c r="W215" s="2" t="n"/>
      <c r="X215" s="87" t="n"/>
    </row>
    <row r="216">
      <c r="A216" s="4" t="n"/>
      <c r="B216" s="65" t="n"/>
      <c r="C216" s="65" t="n"/>
      <c r="D216" s="65" t="n"/>
      <c r="E216" s="2" t="n"/>
      <c r="F216" s="2" t="n"/>
      <c r="L216" s="1" t="n"/>
      <c r="M216" s="2" t="n"/>
      <c r="N216" s="2" t="n"/>
      <c r="O216" s="2" t="n"/>
      <c r="P216" s="2" t="n"/>
      <c r="Q216" s="2" t="n"/>
      <c r="R216" s="2" t="n"/>
      <c r="T216" s="91" t="n"/>
      <c r="U216" s="86" t="n"/>
      <c r="V216" s="86" t="n"/>
      <c r="W216" s="2" t="n"/>
      <c r="X216" s="87" t="n"/>
    </row>
    <row r="217">
      <c r="A217" s="4" t="n"/>
      <c r="B217" s="65" t="n"/>
      <c r="C217" s="65" t="n"/>
      <c r="D217" s="65" t="n"/>
      <c r="E217" s="2" t="n"/>
      <c r="F217" s="2" t="n"/>
      <c r="L217" s="1" t="n"/>
      <c r="M217" s="2" t="n"/>
      <c r="N217" s="2" t="n"/>
      <c r="O217" s="2" t="n"/>
      <c r="P217" s="2" t="n"/>
      <c r="Q217" s="2" t="n"/>
      <c r="R217" s="2" t="n"/>
      <c r="T217" s="91" t="n"/>
      <c r="U217" s="86" t="n"/>
      <c r="V217" s="86" t="n"/>
      <c r="W217" s="2" t="n"/>
      <c r="X217" s="87" t="n"/>
    </row>
    <row r="218">
      <c r="A218" s="4" t="n"/>
      <c r="B218" s="65" t="n"/>
      <c r="C218" s="65" t="n"/>
      <c r="D218" s="65" t="n"/>
      <c r="E218" s="2" t="n"/>
      <c r="F218" s="2" t="n"/>
      <c r="L218" s="1" t="n"/>
      <c r="M218" s="2" t="n"/>
      <c r="N218" s="2" t="n"/>
      <c r="O218" s="2" t="n"/>
      <c r="P218" s="2" t="n"/>
      <c r="Q218" s="2" t="n"/>
      <c r="R218" s="2" t="n"/>
      <c r="T218" s="91" t="n"/>
      <c r="U218" s="86" t="n"/>
      <c r="V218" s="86" t="n"/>
      <c r="W218" s="2" t="n"/>
      <c r="X218" s="87" t="n"/>
    </row>
    <row r="219">
      <c r="A219" s="4" t="n"/>
      <c r="B219" s="65" t="n"/>
      <c r="C219" s="65" t="n"/>
      <c r="D219" s="65" t="n"/>
      <c r="E219" s="2" t="n"/>
      <c r="F219" s="2" t="n"/>
      <c r="L219" s="1" t="n"/>
      <c r="M219" s="2" t="n"/>
      <c r="N219" s="2" t="n"/>
      <c r="O219" s="2" t="n"/>
      <c r="P219" s="2" t="n"/>
      <c r="Q219" s="2" t="n"/>
      <c r="R219" s="2" t="n"/>
      <c r="T219" s="91" t="n"/>
      <c r="U219" s="86" t="n"/>
      <c r="V219" s="86" t="n"/>
      <c r="W219" s="2" t="n"/>
      <c r="X219" s="87" t="n"/>
    </row>
    <row r="220">
      <c r="A220" s="4" t="n"/>
      <c r="B220" s="65" t="n"/>
      <c r="C220" s="65" t="n"/>
      <c r="D220" s="65" t="n"/>
      <c r="E220" s="2" t="n"/>
      <c r="F220" s="2" t="n"/>
      <c r="L220" s="1" t="n"/>
      <c r="M220" s="2" t="n"/>
      <c r="N220" s="2" t="n"/>
      <c r="O220" s="2" t="n"/>
      <c r="P220" s="2" t="n"/>
      <c r="Q220" s="2" t="n"/>
      <c r="R220" s="2" t="n"/>
      <c r="T220" s="91" t="n"/>
      <c r="U220" s="86" t="n"/>
      <c r="V220" s="86" t="n"/>
      <c r="W220" s="2" t="n"/>
      <c r="X220" s="87" t="n"/>
    </row>
    <row r="221">
      <c r="A221" s="4" t="n"/>
      <c r="B221" s="65" t="n"/>
      <c r="C221" s="65" t="n"/>
      <c r="D221" s="65" t="n"/>
      <c r="E221" s="2" t="n"/>
      <c r="F221" s="2" t="n"/>
      <c r="L221" s="1" t="n"/>
      <c r="M221" s="2" t="n"/>
      <c r="N221" s="2" t="n"/>
      <c r="O221" s="2" t="n"/>
      <c r="P221" s="2" t="n"/>
      <c r="Q221" s="2" t="n"/>
      <c r="R221" s="2" t="n"/>
      <c r="T221" s="91" t="n"/>
      <c r="U221" s="86" t="n"/>
      <c r="V221" s="86" t="n"/>
      <c r="W221" s="2" t="n"/>
      <c r="X221" s="87" t="n"/>
    </row>
    <row r="222">
      <c r="A222" s="4" t="n"/>
      <c r="B222" s="65" t="n"/>
      <c r="C222" s="65" t="n"/>
      <c r="D222" s="65" t="n"/>
      <c r="E222" s="2" t="n"/>
      <c r="F222" s="2" t="n"/>
      <c r="L222" s="1" t="n"/>
      <c r="M222" s="2" t="n"/>
      <c r="N222" s="2" t="n"/>
      <c r="O222" s="2" t="n"/>
      <c r="P222" s="2" t="n"/>
      <c r="Q222" s="2" t="n"/>
      <c r="R222" s="2" t="n"/>
      <c r="T222" s="91" t="n"/>
      <c r="U222" s="86" t="n"/>
      <c r="V222" s="86" t="n"/>
      <c r="W222" s="2" t="n"/>
      <c r="X222" s="87" t="n"/>
    </row>
    <row r="223">
      <c r="A223" s="4" t="n"/>
      <c r="B223" s="65" t="n"/>
      <c r="C223" s="65" t="n"/>
      <c r="D223" s="65" t="n"/>
      <c r="E223" s="2" t="n"/>
      <c r="F223" s="2" t="n"/>
      <c r="L223" s="1" t="n"/>
      <c r="M223" s="2" t="n"/>
      <c r="N223" s="2" t="n"/>
      <c r="O223" s="2" t="n"/>
      <c r="P223" s="2" t="n"/>
      <c r="Q223" s="2" t="n"/>
      <c r="R223" s="2" t="n"/>
      <c r="T223" s="91" t="n"/>
      <c r="U223" s="86" t="n"/>
      <c r="V223" s="86" t="n"/>
      <c r="W223" s="2" t="n"/>
      <c r="X223" s="87" t="n"/>
    </row>
    <row r="224">
      <c r="A224" s="4" t="n"/>
      <c r="B224" s="65" t="n"/>
      <c r="C224" s="65" t="n"/>
      <c r="D224" s="65" t="n"/>
      <c r="E224" s="2" t="n"/>
      <c r="F224" s="2" t="n"/>
      <c r="L224" s="1" t="n"/>
      <c r="M224" s="2" t="n"/>
      <c r="N224" s="2" t="n"/>
      <c r="O224" s="2" t="n"/>
      <c r="P224" s="2" t="n"/>
      <c r="Q224" s="2" t="n"/>
      <c r="R224" s="2" t="n"/>
      <c r="T224" s="91" t="n"/>
      <c r="U224" s="86" t="n"/>
      <c r="V224" s="86" t="n"/>
      <c r="W224" s="2" t="n"/>
      <c r="X224" s="87" t="n"/>
    </row>
    <row r="225">
      <c r="A225" s="4" t="n"/>
      <c r="B225" s="65" t="n"/>
      <c r="C225" s="65" t="n"/>
      <c r="D225" s="65" t="n"/>
      <c r="E225" s="2" t="n"/>
      <c r="F225" s="2" t="n"/>
      <c r="L225" s="1" t="n"/>
      <c r="M225" s="2" t="n"/>
      <c r="N225" s="2" t="n"/>
      <c r="O225" s="2" t="n"/>
      <c r="P225" s="2" t="n"/>
      <c r="Q225" s="2" t="n"/>
      <c r="R225" s="2" t="n"/>
      <c r="T225" s="91" t="n"/>
      <c r="U225" s="86" t="n"/>
      <c r="V225" s="86" t="n"/>
      <c r="W225" s="2" t="n"/>
      <c r="X225" s="87" t="n"/>
    </row>
    <row r="226">
      <c r="A226" s="4" t="n"/>
      <c r="B226" s="65" t="n"/>
      <c r="C226" s="65" t="n"/>
      <c r="D226" s="65" t="n"/>
      <c r="E226" s="2" t="n"/>
      <c r="F226" s="2" t="n"/>
      <c r="L226" s="1" t="n"/>
      <c r="M226" s="2" t="n"/>
      <c r="N226" s="2" t="n"/>
      <c r="O226" s="2" t="n"/>
      <c r="P226" s="2" t="n"/>
      <c r="Q226" s="2" t="n"/>
      <c r="R226" s="2" t="n"/>
      <c r="T226" s="91" t="n"/>
      <c r="U226" s="86" t="n"/>
      <c r="V226" s="86" t="n"/>
      <c r="W226" s="2" t="n"/>
      <c r="X226" s="87" t="n"/>
    </row>
    <row r="227">
      <c r="A227" s="4" t="n"/>
      <c r="B227" s="65" t="n"/>
      <c r="C227" s="65" t="n"/>
      <c r="D227" s="65" t="n"/>
      <c r="E227" s="2" t="n"/>
      <c r="F227" s="2" t="n"/>
      <c r="L227" s="1" t="n"/>
      <c r="M227" s="2" t="n"/>
      <c r="N227" s="2" t="n"/>
      <c r="O227" s="2" t="n"/>
      <c r="P227" s="2" t="n"/>
      <c r="Q227" s="2" t="n"/>
      <c r="R227" s="2" t="n"/>
      <c r="T227" s="91" t="n"/>
      <c r="U227" s="86" t="n"/>
      <c r="V227" s="86" t="n"/>
      <c r="W227" s="2" t="n"/>
      <c r="X227" s="87" t="n"/>
    </row>
    <row r="228">
      <c r="A228" s="4" t="n"/>
      <c r="B228" s="65" t="n"/>
      <c r="C228" s="65" t="n"/>
      <c r="D228" s="65" t="n"/>
      <c r="E228" s="2" t="n"/>
      <c r="F228" s="2" t="n"/>
      <c r="L228" s="1" t="n"/>
      <c r="M228" s="2" t="n"/>
      <c r="N228" s="2" t="n"/>
      <c r="O228" s="2" t="n"/>
      <c r="P228" s="2" t="n"/>
      <c r="Q228" s="2" t="n"/>
      <c r="R228" s="2" t="n"/>
      <c r="T228" s="91" t="n"/>
      <c r="U228" s="86" t="n"/>
      <c r="V228" s="86" t="n"/>
      <c r="W228" s="2" t="n"/>
      <c r="X228" s="87" t="n"/>
    </row>
    <row r="229">
      <c r="A229" s="4" t="n"/>
      <c r="B229" s="65" t="n"/>
      <c r="C229" s="65" t="n"/>
      <c r="D229" s="65" t="n"/>
      <c r="E229" s="2" t="n"/>
      <c r="F229" s="2" t="n"/>
      <c r="L229" s="1" t="n"/>
      <c r="M229" s="2" t="n"/>
      <c r="N229" s="2" t="n"/>
      <c r="O229" s="2" t="n"/>
      <c r="P229" s="2" t="n"/>
      <c r="Q229" s="2" t="n"/>
      <c r="R229" s="2" t="n"/>
      <c r="T229" s="91" t="n"/>
      <c r="U229" s="86" t="n"/>
      <c r="V229" s="86" t="n"/>
      <c r="W229" s="2" t="n"/>
      <c r="X229" s="87" t="n"/>
    </row>
    <row r="230">
      <c r="A230" s="4" t="n"/>
      <c r="B230" s="65" t="n"/>
      <c r="C230" s="65" t="n"/>
      <c r="D230" s="65" t="n"/>
      <c r="E230" s="2" t="n"/>
      <c r="F230" s="2" t="n"/>
      <c r="L230" s="1" t="n"/>
      <c r="M230" s="2" t="n"/>
      <c r="N230" s="2" t="n"/>
      <c r="O230" s="2" t="n"/>
      <c r="P230" s="2" t="n"/>
      <c r="Q230" s="2" t="n"/>
      <c r="R230" s="2" t="n"/>
      <c r="T230" s="91" t="n"/>
      <c r="U230" s="86" t="n"/>
      <c r="V230" s="86" t="n"/>
      <c r="W230" s="2" t="n"/>
      <c r="X230" s="87" t="n"/>
    </row>
    <row r="231">
      <c r="A231" s="4" t="n"/>
      <c r="B231" s="65" t="n"/>
      <c r="C231" s="65" t="n"/>
      <c r="D231" s="65" t="n"/>
      <c r="E231" s="2" t="n"/>
      <c r="F231" s="2" t="n"/>
      <c r="L231" s="1" t="n"/>
      <c r="M231" s="2" t="n"/>
      <c r="N231" s="2" t="n"/>
      <c r="O231" s="2" t="n"/>
      <c r="P231" s="2" t="n"/>
      <c r="Q231" s="2" t="n"/>
      <c r="R231" s="2" t="n"/>
      <c r="T231" s="91" t="n"/>
      <c r="U231" s="86" t="n"/>
      <c r="V231" s="86" t="n"/>
      <c r="W231" s="2" t="n"/>
      <c r="X231" s="87" t="n"/>
    </row>
    <row r="232">
      <c r="A232" s="4" t="n"/>
      <c r="B232" s="65" t="n"/>
      <c r="C232" s="65" t="n"/>
      <c r="D232" s="65" t="n"/>
      <c r="E232" s="2" t="n"/>
      <c r="F232" s="2" t="n"/>
      <c r="L232" s="1" t="n"/>
      <c r="M232" s="2" t="n"/>
      <c r="N232" s="2" t="n"/>
      <c r="O232" s="2" t="n"/>
      <c r="P232" s="2" t="n"/>
      <c r="Q232" s="2" t="n"/>
      <c r="R232" s="2" t="n"/>
      <c r="T232" s="91" t="n"/>
      <c r="U232" s="86" t="n"/>
      <c r="V232" s="86" t="n"/>
      <c r="W232" s="2" t="n"/>
      <c r="X232" s="87" t="n"/>
    </row>
    <row r="233">
      <c r="A233" s="4" t="n"/>
      <c r="B233" s="65" t="n"/>
      <c r="C233" s="65" t="n"/>
      <c r="D233" s="65" t="n"/>
      <c r="E233" s="2" t="n"/>
      <c r="F233" s="2" t="n"/>
      <c r="L233" s="1" t="n"/>
      <c r="M233" s="2" t="n"/>
      <c r="N233" s="2" t="n"/>
      <c r="O233" s="2" t="n"/>
      <c r="P233" s="2" t="n"/>
      <c r="Q233" s="2" t="n"/>
      <c r="R233" s="2" t="n"/>
      <c r="T233" s="91" t="n"/>
      <c r="U233" s="86" t="n"/>
      <c r="V233" s="86" t="n"/>
      <c r="W233" s="2" t="n"/>
      <c r="X233" s="87" t="n"/>
    </row>
    <row r="234">
      <c r="A234" s="4" t="n"/>
      <c r="B234" s="65" t="n"/>
      <c r="C234" s="65" t="n"/>
      <c r="D234" s="65" t="n"/>
      <c r="E234" s="2" t="n"/>
      <c r="F234" s="2" t="n"/>
      <c r="L234" s="1" t="n"/>
      <c r="M234" s="2" t="n"/>
      <c r="N234" s="2" t="n"/>
      <c r="O234" s="2" t="n"/>
      <c r="P234" s="2" t="n"/>
      <c r="Q234" s="2" t="n"/>
      <c r="R234" s="2" t="n"/>
      <c r="T234" s="91" t="n"/>
      <c r="U234" s="86" t="n"/>
      <c r="V234" s="86" t="n"/>
      <c r="W234" s="2" t="n"/>
      <c r="X234" s="87" t="n"/>
    </row>
    <row r="235">
      <c r="A235" s="4" t="n"/>
      <c r="B235" s="65" t="n"/>
      <c r="C235" s="65" t="n"/>
      <c r="D235" s="65" t="n"/>
      <c r="E235" s="2" t="n"/>
      <c r="F235" s="2" t="n"/>
      <c r="L235" s="1" t="n"/>
      <c r="M235" s="2" t="n"/>
      <c r="N235" s="2" t="n"/>
      <c r="O235" s="2" t="n"/>
      <c r="P235" s="2" t="n"/>
      <c r="Q235" s="2" t="n"/>
      <c r="R235" s="2" t="n"/>
      <c r="T235" s="91" t="n"/>
      <c r="U235" s="86" t="n"/>
      <c r="V235" s="86" t="n"/>
      <c r="W235" s="2" t="n"/>
      <c r="X235" s="87" t="n"/>
    </row>
    <row r="236">
      <c r="A236" s="4" t="n"/>
      <c r="B236" s="65" t="n"/>
      <c r="C236" s="65" t="n"/>
      <c r="D236" s="65" t="n"/>
      <c r="E236" s="2" t="n"/>
      <c r="F236" s="2" t="n"/>
      <c r="L236" s="1" t="n"/>
      <c r="M236" s="2" t="n"/>
      <c r="N236" s="2" t="n"/>
      <c r="O236" s="2" t="n"/>
      <c r="P236" s="2" t="n"/>
      <c r="Q236" s="2" t="n"/>
      <c r="R236" s="2" t="n"/>
      <c r="T236" s="91" t="n"/>
      <c r="U236" s="86" t="n"/>
      <c r="V236" s="86" t="n"/>
      <c r="W236" s="2" t="n"/>
      <c r="X236" s="87" t="n"/>
    </row>
    <row r="237">
      <c r="A237" s="4" t="n"/>
      <c r="B237" s="65" t="n"/>
      <c r="C237" s="65" t="n"/>
      <c r="D237" s="65" t="n"/>
      <c r="E237" s="2" t="n"/>
      <c r="F237" s="2" t="n"/>
      <c r="L237" s="1" t="n"/>
      <c r="M237" s="2" t="n"/>
      <c r="N237" s="2" t="n"/>
      <c r="O237" s="2" t="n"/>
      <c r="P237" s="2" t="n"/>
      <c r="Q237" s="2" t="n"/>
      <c r="R237" s="2" t="n"/>
      <c r="T237" s="91" t="n"/>
      <c r="U237" s="86" t="n"/>
      <c r="V237" s="86" t="n"/>
      <c r="W237" s="2" t="n"/>
      <c r="X237" s="87" t="n"/>
    </row>
    <row r="238">
      <c r="A238" s="4" t="n"/>
      <c r="B238" s="65" t="n"/>
      <c r="C238" s="65" t="n"/>
      <c r="D238" s="65" t="n"/>
      <c r="E238" s="2" t="n"/>
      <c r="F238" s="2" t="n"/>
      <c r="L238" s="1" t="n"/>
      <c r="M238" s="2" t="n"/>
      <c r="N238" s="2" t="n"/>
      <c r="O238" s="2" t="n"/>
      <c r="P238" s="2" t="n"/>
      <c r="Q238" s="2" t="n"/>
      <c r="R238" s="2" t="n"/>
      <c r="T238" s="91" t="n"/>
      <c r="U238" s="86" t="n"/>
      <c r="V238" s="86" t="n"/>
      <c r="W238" s="2" t="n"/>
      <c r="X238" s="87" t="n"/>
    </row>
    <row r="239">
      <c r="A239" s="4" t="n"/>
      <c r="B239" s="65" t="n"/>
      <c r="C239" s="65" t="n"/>
      <c r="D239" s="65" t="n"/>
      <c r="E239" s="2" t="n"/>
      <c r="F239" s="2" t="n"/>
      <c r="L239" s="1" t="n"/>
      <c r="M239" s="2" t="n"/>
      <c r="N239" s="2" t="n"/>
      <c r="O239" s="2" t="n"/>
      <c r="P239" s="2" t="n"/>
      <c r="Q239" s="2" t="n"/>
      <c r="R239" s="2" t="n"/>
      <c r="T239" s="91" t="n"/>
      <c r="U239" s="86" t="n"/>
      <c r="V239" s="86" t="n"/>
      <c r="W239" s="2" t="n"/>
      <c r="X239" s="87" t="n"/>
    </row>
    <row r="240">
      <c r="A240" s="4" t="n"/>
      <c r="B240" s="65" t="n"/>
      <c r="C240" s="65" t="n"/>
      <c r="D240" s="65" t="n"/>
      <c r="E240" s="2" t="n"/>
      <c r="F240" s="2" t="n"/>
      <c r="L240" s="1" t="n"/>
      <c r="M240" s="2" t="n"/>
      <c r="N240" s="2" t="n"/>
      <c r="O240" s="2" t="n"/>
      <c r="P240" s="2" t="n"/>
      <c r="Q240" s="2" t="n"/>
      <c r="R240" s="2" t="n"/>
      <c r="T240" s="91" t="n"/>
      <c r="U240" s="86" t="n"/>
      <c r="V240" s="86" t="n"/>
      <c r="W240" s="2" t="n"/>
      <c r="X240" s="87" t="n"/>
    </row>
    <row r="241">
      <c r="A241" s="4" t="n"/>
      <c r="B241" s="65" t="n"/>
      <c r="C241" s="65" t="n"/>
      <c r="D241" s="65" t="n"/>
      <c r="E241" s="2" t="n"/>
      <c r="F241" s="2" t="n"/>
      <c r="L241" s="1" t="n"/>
      <c r="M241" s="2" t="n"/>
      <c r="N241" s="2" t="n"/>
      <c r="O241" s="2" t="n"/>
      <c r="P241" s="2" t="n"/>
      <c r="Q241" s="2" t="n"/>
      <c r="R241" s="2" t="n"/>
      <c r="T241" s="91" t="n"/>
      <c r="U241" s="86" t="n"/>
      <c r="V241" s="86" t="n"/>
      <c r="W241" s="2" t="n"/>
      <c r="X241" s="87" t="n"/>
    </row>
    <row r="242">
      <c r="A242" s="4" t="n"/>
      <c r="B242" s="65" t="n"/>
      <c r="C242" s="65" t="n"/>
      <c r="D242" s="65" t="n"/>
      <c r="E242" s="2" t="n"/>
      <c r="F242" s="2" t="n"/>
      <c r="L242" s="1" t="n"/>
      <c r="M242" s="2" t="n"/>
      <c r="N242" s="2" t="n"/>
      <c r="O242" s="2" t="n"/>
      <c r="P242" s="2" t="n"/>
      <c r="Q242" s="2" t="n"/>
      <c r="R242" s="2" t="n"/>
      <c r="T242" s="91" t="n"/>
      <c r="U242" s="86" t="n"/>
      <c r="V242" s="86" t="n"/>
      <c r="W242" s="2" t="n"/>
      <c r="X242" s="87" t="n"/>
    </row>
    <row r="243">
      <c r="A243" s="4" t="n"/>
      <c r="B243" s="65" t="n"/>
      <c r="C243" s="65" t="n"/>
      <c r="D243" s="65" t="n"/>
      <c r="E243" s="2" t="n"/>
      <c r="F243" s="2" t="n"/>
      <c r="L243" s="1" t="n"/>
      <c r="M243" s="2" t="n"/>
      <c r="N243" s="2" t="n"/>
      <c r="O243" s="2" t="n"/>
      <c r="P243" s="2" t="n"/>
      <c r="Q243" s="2" t="n"/>
      <c r="R243" s="2" t="n"/>
      <c r="T243" s="91" t="n"/>
      <c r="U243" s="86" t="n"/>
      <c r="V243" s="86" t="n"/>
      <c r="W243" s="2" t="n"/>
      <c r="X243" s="87" t="n"/>
    </row>
    <row r="244">
      <c r="A244" s="4" t="n"/>
      <c r="B244" s="65" t="n"/>
      <c r="C244" s="65" t="n"/>
      <c r="D244" s="65" t="n"/>
      <c r="E244" s="2" t="n"/>
      <c r="F244" s="2" t="n"/>
      <c r="L244" s="1" t="n"/>
      <c r="M244" s="2" t="n"/>
      <c r="N244" s="2" t="n"/>
      <c r="O244" s="2" t="n"/>
      <c r="P244" s="2" t="n"/>
      <c r="Q244" s="2" t="n"/>
      <c r="R244" s="2" t="n"/>
      <c r="T244" s="91" t="n"/>
      <c r="U244" s="86" t="n"/>
      <c r="V244" s="86" t="n"/>
      <c r="W244" s="2" t="n"/>
      <c r="X244" s="87" t="n"/>
    </row>
    <row r="245">
      <c r="A245" s="4" t="n"/>
      <c r="B245" s="65" t="n"/>
      <c r="C245" s="65" t="n"/>
      <c r="D245" s="65" t="n"/>
      <c r="E245" s="2" t="n"/>
      <c r="F245" s="2" t="n"/>
      <c r="L245" s="1" t="n"/>
      <c r="M245" s="2" t="n"/>
      <c r="N245" s="2" t="n"/>
      <c r="O245" s="2" t="n"/>
      <c r="P245" s="2" t="n"/>
      <c r="Q245" s="2" t="n"/>
      <c r="R245" s="2" t="n"/>
      <c r="T245" s="91" t="n"/>
      <c r="U245" s="86" t="n"/>
      <c r="V245" s="86" t="n"/>
      <c r="W245" s="2" t="n"/>
      <c r="X245" s="87" t="n"/>
    </row>
    <row r="246">
      <c r="A246" s="4" t="n"/>
      <c r="B246" s="65" t="n"/>
      <c r="C246" s="65" t="n"/>
      <c r="D246" s="65" t="n"/>
      <c r="E246" s="2" t="n"/>
      <c r="F246" s="2" t="n"/>
      <c r="L246" s="1" t="n"/>
      <c r="M246" s="2" t="n"/>
      <c r="N246" s="2" t="n"/>
      <c r="O246" s="2" t="n"/>
      <c r="P246" s="2" t="n"/>
      <c r="Q246" s="2" t="n"/>
      <c r="R246" s="2" t="n"/>
      <c r="T246" s="91" t="n"/>
      <c r="U246" s="86" t="n"/>
      <c r="V246" s="86" t="n"/>
      <c r="W246" s="2" t="n"/>
      <c r="X246" s="87" t="n"/>
    </row>
    <row r="247">
      <c r="A247" s="4" t="n"/>
      <c r="B247" s="65" t="n"/>
      <c r="C247" s="65" t="n"/>
      <c r="D247" s="65" t="n"/>
      <c r="E247" s="2" t="n"/>
      <c r="F247" s="2" t="n"/>
      <c r="L247" s="1" t="n"/>
      <c r="M247" s="2" t="n"/>
      <c r="N247" s="2" t="n"/>
      <c r="O247" s="2" t="n"/>
      <c r="P247" s="2" t="n"/>
      <c r="Q247" s="2" t="n"/>
      <c r="R247" s="2" t="n"/>
      <c r="T247" s="91" t="n"/>
      <c r="U247" s="86" t="n"/>
      <c r="V247" s="86" t="n"/>
      <c r="W247" s="2" t="n"/>
      <c r="X247" s="87" t="n"/>
    </row>
    <row r="248">
      <c r="A248" s="4" t="n"/>
      <c r="B248" s="65" t="n"/>
      <c r="C248" s="65" t="n"/>
      <c r="D248" s="65" t="n"/>
      <c r="E248" s="2" t="n"/>
      <c r="F248" s="2" t="n"/>
      <c r="L248" s="1" t="n"/>
      <c r="M248" s="2" t="n"/>
      <c r="N248" s="2" t="n"/>
      <c r="O248" s="2" t="n"/>
      <c r="P248" s="2" t="n"/>
      <c r="Q248" s="2" t="n"/>
      <c r="R248" s="2" t="n"/>
      <c r="T248" s="91" t="n"/>
      <c r="U248" s="86" t="n"/>
      <c r="V248" s="86" t="n"/>
      <c r="W248" s="2" t="n"/>
      <c r="X248" s="87" t="n"/>
    </row>
    <row r="249">
      <c r="A249" s="4" t="n"/>
      <c r="B249" s="65" t="n"/>
      <c r="C249" s="65" t="n"/>
      <c r="D249" s="65" t="n"/>
      <c r="E249" s="2" t="n"/>
      <c r="F249" s="2" t="n"/>
      <c r="L249" s="1" t="n"/>
      <c r="M249" s="2" t="n"/>
      <c r="N249" s="2" t="n"/>
      <c r="O249" s="2" t="n"/>
      <c r="P249" s="2" t="n"/>
      <c r="Q249" s="2" t="n"/>
      <c r="R249" s="2" t="n"/>
      <c r="T249" s="91" t="n"/>
      <c r="U249" s="86" t="n"/>
      <c r="V249" s="86" t="n"/>
      <c r="W249" s="2" t="n"/>
      <c r="X249" s="87" t="n"/>
    </row>
    <row r="250">
      <c r="A250" s="4" t="n"/>
      <c r="B250" s="65" t="n"/>
      <c r="C250" s="65" t="n"/>
      <c r="D250" s="65" t="n"/>
      <c r="E250" s="2" t="n"/>
      <c r="F250" s="2" t="n"/>
      <c r="L250" s="1" t="n"/>
      <c r="M250" s="2" t="n"/>
      <c r="N250" s="2" t="n"/>
      <c r="O250" s="2" t="n"/>
      <c r="P250" s="2" t="n"/>
      <c r="Q250" s="2" t="n"/>
      <c r="R250" s="2" t="n"/>
      <c r="T250" s="91" t="n"/>
      <c r="U250" s="86" t="n"/>
      <c r="V250" s="86" t="n"/>
      <c r="W250" s="2" t="n"/>
      <c r="X250" s="87" t="n"/>
    </row>
    <row r="251">
      <c r="A251" s="4" t="n"/>
      <c r="B251" s="65" t="n"/>
      <c r="C251" s="65" t="n"/>
      <c r="D251" s="65" t="n"/>
      <c r="E251" s="2" t="n"/>
      <c r="F251" s="2" t="n"/>
      <c r="L251" s="1" t="n"/>
      <c r="M251" s="2" t="n"/>
      <c r="N251" s="2" t="n"/>
      <c r="O251" s="2" t="n"/>
      <c r="P251" s="2" t="n"/>
      <c r="Q251" s="2" t="n"/>
      <c r="R251" s="2" t="n"/>
      <c r="T251" s="91" t="n"/>
      <c r="U251" s="86" t="n"/>
      <c r="V251" s="86" t="n"/>
      <c r="W251" s="2" t="n"/>
      <c r="X251" s="87" t="n"/>
    </row>
    <row r="252">
      <c r="A252" s="4" t="n"/>
      <c r="B252" s="65" t="n"/>
      <c r="C252" s="65" t="n"/>
      <c r="D252" s="65" t="n"/>
      <c r="E252" s="2" t="n"/>
      <c r="F252" s="2" t="n"/>
      <c r="L252" s="1" t="n"/>
      <c r="M252" s="2" t="n"/>
      <c r="N252" s="2" t="n"/>
      <c r="O252" s="2" t="n"/>
      <c r="P252" s="2" t="n"/>
      <c r="Q252" s="2" t="n"/>
      <c r="R252" s="2" t="n"/>
      <c r="T252" s="91" t="n"/>
      <c r="U252" s="86" t="n"/>
      <c r="V252" s="86" t="n"/>
      <c r="W252" s="2" t="n"/>
      <c r="X252" s="87" t="n"/>
    </row>
    <row r="253">
      <c r="A253" s="4" t="n"/>
      <c r="B253" s="65" t="n"/>
      <c r="C253" s="65" t="n"/>
      <c r="D253" s="65" t="n"/>
      <c r="E253" s="2" t="n"/>
      <c r="F253" s="2" t="n"/>
      <c r="L253" s="1" t="n"/>
      <c r="M253" s="2" t="n"/>
      <c r="N253" s="2" t="n"/>
      <c r="O253" s="2" t="n"/>
      <c r="P253" s="2" t="n"/>
      <c r="Q253" s="2" t="n"/>
      <c r="R253" s="2" t="n"/>
      <c r="T253" s="91" t="n"/>
      <c r="U253" s="86" t="n"/>
      <c r="V253" s="86" t="n"/>
      <c r="W253" s="2" t="n"/>
      <c r="X253" s="87" t="n"/>
    </row>
    <row r="254">
      <c r="A254" s="4" t="n"/>
      <c r="B254" s="65" t="n"/>
      <c r="C254" s="65" t="n"/>
      <c r="D254" s="65" t="n"/>
      <c r="E254" s="2" t="n"/>
      <c r="F254" s="2" t="n"/>
      <c r="L254" s="1" t="n"/>
      <c r="M254" s="2" t="n"/>
      <c r="N254" s="2" t="n"/>
      <c r="O254" s="2" t="n"/>
      <c r="P254" s="2" t="n"/>
      <c r="Q254" s="2" t="n"/>
      <c r="R254" s="2" t="n"/>
      <c r="T254" s="91" t="n"/>
      <c r="U254" s="86" t="n"/>
      <c r="V254" s="86" t="n"/>
      <c r="W254" s="2" t="n"/>
      <c r="X254" s="87" t="n"/>
    </row>
    <row r="255">
      <c r="A255" s="4" t="n"/>
      <c r="B255" s="65" t="n"/>
      <c r="C255" s="65" t="n"/>
      <c r="D255" s="65" t="n"/>
      <c r="E255" s="2" t="n"/>
      <c r="F255" s="2" t="n"/>
      <c r="L255" s="1" t="n"/>
      <c r="M255" s="2" t="n"/>
      <c r="N255" s="2" t="n"/>
      <c r="O255" s="2" t="n"/>
      <c r="P255" s="2" t="n"/>
      <c r="Q255" s="2" t="n"/>
      <c r="R255" s="2" t="n"/>
      <c r="T255" s="91" t="n"/>
      <c r="U255" s="86" t="n"/>
      <c r="V255" s="86" t="n"/>
      <c r="W255" s="2" t="n"/>
      <c r="X255" s="87" t="n"/>
    </row>
    <row r="256">
      <c r="A256" s="4" t="n"/>
      <c r="B256" s="65" t="n"/>
      <c r="C256" s="65" t="n"/>
      <c r="D256" s="65" t="n"/>
      <c r="E256" s="2" t="n"/>
      <c r="F256" s="2" t="n"/>
      <c r="L256" s="1" t="n"/>
      <c r="M256" s="2" t="n"/>
      <c r="N256" s="2" t="n"/>
      <c r="O256" s="2" t="n"/>
      <c r="P256" s="2" t="n"/>
      <c r="Q256" s="2" t="n"/>
      <c r="R256" s="2" t="n"/>
      <c r="T256" s="91" t="n"/>
      <c r="U256" s="86" t="n"/>
      <c r="V256" s="86" t="n"/>
      <c r="W256" s="2" t="n"/>
      <c r="X256" s="87" t="n"/>
    </row>
    <row r="257">
      <c r="A257" s="4" t="n"/>
      <c r="B257" s="65" t="n"/>
      <c r="C257" s="65" t="n"/>
      <c r="D257" s="65" t="n"/>
      <c r="E257" s="2" t="n"/>
      <c r="F257" s="2" t="n"/>
      <c r="L257" s="1" t="n"/>
      <c r="M257" s="2" t="n"/>
      <c r="N257" s="2" t="n"/>
      <c r="O257" s="2" t="n"/>
      <c r="P257" s="2" t="n"/>
      <c r="Q257" s="2" t="n"/>
      <c r="R257" s="2" t="n"/>
      <c r="T257" s="91" t="n"/>
      <c r="U257" s="86" t="n"/>
      <c r="V257" s="86" t="n"/>
      <c r="W257" s="2" t="n"/>
      <c r="X257" s="87" t="n"/>
    </row>
    <row r="258">
      <c r="A258" s="4" t="n"/>
      <c r="B258" s="65" t="n"/>
      <c r="C258" s="65" t="n"/>
      <c r="D258" s="65" t="n"/>
      <c r="E258" s="2" t="n"/>
      <c r="F258" s="2" t="n"/>
      <c r="L258" s="1" t="n"/>
      <c r="M258" s="2" t="n"/>
      <c r="N258" s="2" t="n"/>
      <c r="O258" s="2" t="n"/>
      <c r="P258" s="2" t="n"/>
      <c r="Q258" s="2" t="n"/>
      <c r="R258" s="2" t="n"/>
      <c r="T258" s="91" t="n"/>
      <c r="U258" s="86" t="n"/>
      <c r="V258" s="86" t="n"/>
      <c r="W258" s="2" t="n"/>
      <c r="X258" s="87" t="n"/>
    </row>
    <row r="259">
      <c r="A259" s="4" t="n"/>
      <c r="B259" s="65" t="n"/>
      <c r="C259" s="65" t="n"/>
      <c r="D259" s="65" t="n"/>
      <c r="E259" s="2" t="n"/>
      <c r="F259" s="2" t="n"/>
      <c r="L259" s="1" t="n"/>
      <c r="M259" s="2" t="n"/>
      <c r="N259" s="2" t="n"/>
      <c r="O259" s="2" t="n"/>
      <c r="P259" s="2" t="n"/>
      <c r="Q259" s="2" t="n"/>
      <c r="R259" s="2" t="n"/>
      <c r="T259" s="91" t="n"/>
      <c r="U259" s="86" t="n"/>
      <c r="V259" s="86" t="n"/>
      <c r="W259" s="2" t="n"/>
      <c r="X259" s="87" t="n"/>
    </row>
    <row r="260">
      <c r="A260" s="4" t="n"/>
      <c r="B260" s="65" t="n"/>
      <c r="C260" s="65" t="n"/>
      <c r="D260" s="65" t="n"/>
      <c r="E260" s="2" t="n"/>
      <c r="F260" s="2" t="n"/>
      <c r="L260" s="1" t="n"/>
      <c r="M260" s="2" t="n"/>
      <c r="N260" s="2" t="n"/>
      <c r="O260" s="2" t="n"/>
      <c r="P260" s="2" t="n"/>
      <c r="Q260" s="2" t="n"/>
      <c r="R260" s="2" t="n"/>
      <c r="T260" s="91" t="n"/>
      <c r="U260" s="86" t="n"/>
      <c r="V260" s="86" t="n"/>
      <c r="W260" s="2" t="n"/>
      <c r="X260" s="87" t="n"/>
    </row>
    <row r="261">
      <c r="A261" s="4" t="n"/>
      <c r="B261" s="65" t="n"/>
      <c r="C261" s="65" t="n"/>
      <c r="D261" s="65" t="n"/>
      <c r="E261" s="2" t="n"/>
      <c r="F261" s="2" t="n"/>
      <c r="L261" s="1" t="n"/>
      <c r="M261" s="2" t="n"/>
      <c r="N261" s="2" t="n"/>
      <c r="O261" s="2" t="n"/>
      <c r="P261" s="2" t="n"/>
      <c r="Q261" s="2" t="n"/>
      <c r="R261" s="2" t="n"/>
      <c r="T261" s="91" t="n"/>
      <c r="U261" s="86" t="n"/>
      <c r="V261" s="86" t="n"/>
      <c r="W261" s="2" t="n"/>
      <c r="X261" s="87" t="n"/>
    </row>
    <row r="262">
      <c r="A262" s="4" t="n"/>
      <c r="B262" s="65" t="n"/>
      <c r="C262" s="65" t="n"/>
      <c r="D262" s="65" t="n"/>
      <c r="E262" s="2" t="n"/>
      <c r="F262" s="2" t="n"/>
      <c r="L262" s="1" t="n"/>
      <c r="M262" s="2" t="n"/>
      <c r="N262" s="2" t="n"/>
      <c r="O262" s="2" t="n"/>
      <c r="P262" s="2" t="n"/>
      <c r="Q262" s="2" t="n"/>
      <c r="R262" s="2" t="n"/>
      <c r="T262" s="91" t="n"/>
      <c r="U262" s="86" t="n"/>
      <c r="V262" s="86" t="n"/>
      <c r="W262" s="2" t="n"/>
      <c r="X262" s="87" t="n"/>
    </row>
    <row r="263">
      <c r="A263" s="4" t="n"/>
      <c r="B263" s="65" t="n"/>
      <c r="C263" s="65" t="n"/>
      <c r="D263" s="65" t="n"/>
      <c r="E263" s="2" t="n"/>
      <c r="F263" s="2" t="n"/>
      <c r="L263" s="1" t="n"/>
      <c r="M263" s="2" t="n"/>
      <c r="N263" s="2" t="n"/>
      <c r="O263" s="2" t="n"/>
      <c r="P263" s="2" t="n"/>
      <c r="Q263" s="2" t="n"/>
      <c r="R263" s="2" t="n"/>
      <c r="T263" s="91" t="n"/>
      <c r="U263" s="86" t="n"/>
      <c r="V263" s="86" t="n"/>
      <c r="W263" s="2" t="n"/>
      <c r="X263" s="87" t="n"/>
    </row>
    <row r="264">
      <c r="A264" s="4" t="n"/>
      <c r="B264" s="65" t="n"/>
      <c r="C264" s="65" t="n"/>
      <c r="D264" s="65" t="n"/>
      <c r="E264" s="2" t="n"/>
      <c r="F264" s="2" t="n"/>
      <c r="L264" s="1" t="n"/>
      <c r="M264" s="2" t="n"/>
      <c r="N264" s="2" t="n"/>
      <c r="O264" s="2" t="n"/>
      <c r="P264" s="2" t="n"/>
      <c r="Q264" s="2" t="n"/>
      <c r="R264" s="2" t="n"/>
      <c r="T264" s="91" t="n"/>
      <c r="U264" s="86" t="n"/>
      <c r="V264" s="86" t="n"/>
      <c r="W264" s="2" t="n"/>
      <c r="X264" s="87" t="n"/>
    </row>
    <row r="265">
      <c r="A265" s="4" t="n"/>
      <c r="B265" s="65" t="n"/>
      <c r="C265" s="65" t="n"/>
      <c r="D265" s="65" t="n"/>
      <c r="E265" s="2" t="n"/>
      <c r="F265" s="2" t="n"/>
      <c r="L265" s="1" t="n"/>
      <c r="M265" s="2" t="n"/>
      <c r="N265" s="2" t="n"/>
      <c r="O265" s="2" t="n"/>
      <c r="P265" s="2" t="n"/>
      <c r="Q265" s="2" t="n"/>
      <c r="R265" s="2" t="n"/>
      <c r="T265" s="91" t="n"/>
      <c r="U265" s="86" t="n"/>
      <c r="V265" s="86" t="n"/>
      <c r="W265" s="2" t="n"/>
      <c r="X265" s="87" t="n"/>
    </row>
    <row r="266">
      <c r="A266" s="4" t="n"/>
      <c r="B266" s="65" t="n"/>
      <c r="C266" s="65" t="n"/>
      <c r="D266" s="65" t="n"/>
      <c r="E266" s="2" t="n"/>
      <c r="F266" s="2" t="n"/>
      <c r="L266" s="1" t="n"/>
      <c r="M266" s="2" t="n"/>
      <c r="N266" s="2" t="n"/>
      <c r="O266" s="2" t="n"/>
      <c r="P266" s="2" t="n"/>
      <c r="Q266" s="2" t="n"/>
      <c r="R266" s="2" t="n"/>
      <c r="T266" s="91" t="n"/>
      <c r="U266" s="86" t="n"/>
      <c r="V266" s="86" t="n"/>
      <c r="W266" s="2" t="n"/>
      <c r="X266" s="87" t="n"/>
    </row>
    <row r="267">
      <c r="A267" s="4" t="n"/>
      <c r="B267" s="65" t="n"/>
      <c r="C267" s="65" t="n"/>
      <c r="D267" s="65" t="n"/>
      <c r="E267" s="2" t="n"/>
      <c r="F267" s="2" t="n"/>
      <c r="L267" s="1" t="n"/>
      <c r="M267" s="2" t="n"/>
      <c r="N267" s="2" t="n"/>
      <c r="O267" s="2" t="n"/>
      <c r="P267" s="2" t="n"/>
      <c r="Q267" s="2" t="n"/>
      <c r="R267" s="2" t="n"/>
      <c r="T267" s="91" t="n"/>
      <c r="U267" s="86" t="n"/>
      <c r="V267" s="86" t="n"/>
      <c r="W267" s="2" t="n"/>
      <c r="X267" s="87" t="n"/>
    </row>
    <row r="268">
      <c r="A268" s="4" t="n"/>
      <c r="B268" s="65" t="n"/>
      <c r="C268" s="65" t="n"/>
      <c r="D268" s="65" t="n"/>
      <c r="E268" s="2" t="n"/>
      <c r="F268" s="2" t="n"/>
      <c r="L268" s="1" t="n"/>
      <c r="M268" s="2" t="n"/>
      <c r="N268" s="2" t="n"/>
      <c r="O268" s="2" t="n"/>
      <c r="P268" s="2" t="n"/>
      <c r="Q268" s="2" t="n"/>
      <c r="R268" s="2" t="n"/>
      <c r="T268" s="91" t="n"/>
      <c r="U268" s="86" t="n"/>
      <c r="V268" s="86" t="n"/>
      <c r="W268" s="2" t="n"/>
      <c r="X268" s="87" t="n"/>
    </row>
    <row r="269">
      <c r="A269" s="4" t="n"/>
      <c r="B269" s="65" t="n"/>
      <c r="C269" s="65" t="n"/>
      <c r="D269" s="65" t="n"/>
      <c r="E269" s="2" t="n"/>
      <c r="F269" s="2" t="n"/>
      <c r="L269" s="1" t="n"/>
      <c r="M269" s="2" t="n"/>
      <c r="N269" s="2" t="n"/>
      <c r="O269" s="2" t="n"/>
      <c r="P269" s="2" t="n"/>
      <c r="Q269" s="2" t="n"/>
      <c r="R269" s="2" t="n"/>
      <c r="T269" s="91" t="n"/>
      <c r="U269" s="86" t="n"/>
      <c r="V269" s="86" t="n"/>
      <c r="W269" s="2" t="n"/>
      <c r="X269" s="87" t="n"/>
    </row>
    <row r="270">
      <c r="A270" s="4" t="n"/>
      <c r="B270" s="65" t="n"/>
      <c r="C270" s="65" t="n"/>
      <c r="D270" s="65" t="n"/>
      <c r="E270" s="2" t="n"/>
      <c r="F270" s="2" t="n"/>
      <c r="L270" s="1" t="n"/>
      <c r="M270" s="2" t="n"/>
      <c r="N270" s="2" t="n"/>
      <c r="O270" s="2" t="n"/>
      <c r="P270" s="2" t="n"/>
      <c r="Q270" s="2" t="n"/>
      <c r="R270" s="2" t="n"/>
      <c r="T270" s="91" t="n"/>
      <c r="U270" s="86" t="n"/>
      <c r="V270" s="86" t="n"/>
      <c r="W270" s="2" t="n"/>
      <c r="X270" s="87" t="n"/>
    </row>
    <row r="271">
      <c r="A271" s="4" t="n"/>
      <c r="B271" s="65" t="n"/>
      <c r="C271" s="65" t="n"/>
      <c r="D271" s="65" t="n"/>
      <c r="E271" s="2" t="n"/>
      <c r="F271" s="2" t="n"/>
      <c r="L271" s="1" t="n"/>
      <c r="M271" s="2" t="n"/>
      <c r="N271" s="2" t="n"/>
      <c r="O271" s="2" t="n"/>
      <c r="P271" s="2" t="n"/>
      <c r="Q271" s="2" t="n"/>
      <c r="R271" s="2" t="n"/>
      <c r="T271" s="91" t="n"/>
      <c r="U271" s="86" t="n"/>
      <c r="V271" s="86" t="n"/>
      <c r="W271" s="2" t="n"/>
      <c r="X271" s="87" t="n"/>
    </row>
    <row r="272">
      <c r="A272" s="4" t="n"/>
      <c r="B272" s="65" t="n"/>
      <c r="C272" s="65" t="n"/>
      <c r="D272" s="65" t="n"/>
      <c r="E272" s="2" t="n"/>
      <c r="F272" s="2" t="n"/>
      <c r="L272" s="1" t="n"/>
      <c r="M272" s="2" t="n"/>
      <c r="N272" s="2" t="n"/>
      <c r="O272" s="2" t="n"/>
      <c r="P272" s="2" t="n"/>
      <c r="Q272" s="2" t="n"/>
      <c r="R272" s="2" t="n"/>
      <c r="T272" s="91" t="n"/>
      <c r="U272" s="86" t="n"/>
      <c r="V272" s="86" t="n"/>
      <c r="W272" s="2" t="n"/>
      <c r="X272" s="87" t="n"/>
    </row>
    <row r="273">
      <c r="A273" s="4" t="n"/>
      <c r="B273" s="65" t="n"/>
      <c r="C273" s="65" t="n"/>
      <c r="D273" s="65" t="n"/>
      <c r="E273" s="2" t="n"/>
      <c r="F273" s="2" t="n"/>
      <c r="L273" s="1" t="n"/>
      <c r="M273" s="2" t="n"/>
      <c r="N273" s="2" t="n"/>
      <c r="O273" s="2" t="n"/>
      <c r="P273" s="2" t="n"/>
      <c r="Q273" s="2" t="n"/>
      <c r="R273" s="2" t="n"/>
      <c r="T273" s="91" t="n"/>
      <c r="U273" s="86" t="n"/>
      <c r="V273" s="86" t="n"/>
      <c r="W273" s="2" t="n"/>
      <c r="X273" s="87" t="n"/>
    </row>
    <row r="274">
      <c r="A274" s="4" t="n"/>
      <c r="B274" s="65" t="n"/>
      <c r="C274" s="65" t="n"/>
      <c r="D274" s="65" t="n"/>
      <c r="E274" s="2" t="n"/>
      <c r="F274" s="2" t="n"/>
      <c r="L274" s="1" t="n"/>
      <c r="M274" s="2" t="n"/>
      <c r="N274" s="2" t="n"/>
      <c r="O274" s="2" t="n"/>
      <c r="P274" s="2" t="n"/>
      <c r="Q274" s="2" t="n"/>
      <c r="R274" s="2" t="n"/>
      <c r="T274" s="91" t="n"/>
      <c r="U274" s="86" t="n"/>
      <c r="V274" s="86" t="n"/>
      <c r="W274" s="2" t="n"/>
      <c r="X274" s="87" t="n"/>
    </row>
    <row r="275">
      <c r="A275" s="4" t="n"/>
      <c r="B275" s="65" t="n"/>
      <c r="C275" s="65" t="n"/>
      <c r="D275" s="65" t="n"/>
      <c r="E275" s="2" t="n"/>
      <c r="F275" s="2" t="n"/>
      <c r="L275" s="1" t="n"/>
      <c r="M275" s="2" t="n"/>
      <c r="N275" s="2" t="n"/>
      <c r="O275" s="2" t="n"/>
      <c r="P275" s="2" t="n"/>
      <c r="Q275" s="2" t="n"/>
      <c r="R275" s="2" t="n"/>
      <c r="T275" s="91" t="n"/>
      <c r="U275" s="86" t="n"/>
      <c r="V275" s="86" t="n"/>
      <c r="W275" s="2" t="n"/>
      <c r="X275" s="87" t="n"/>
    </row>
    <row r="276">
      <c r="A276" s="4" t="n"/>
      <c r="B276" s="65" t="n"/>
      <c r="C276" s="65" t="n"/>
      <c r="D276" s="65" t="n"/>
      <c r="E276" s="2" t="n"/>
      <c r="F276" s="2" t="n"/>
      <c r="L276" s="1" t="n"/>
      <c r="M276" s="2" t="n"/>
      <c r="N276" s="2" t="n"/>
      <c r="O276" s="2" t="n"/>
      <c r="P276" s="2" t="n"/>
      <c r="Q276" s="2" t="n"/>
      <c r="R276" s="2" t="n"/>
      <c r="T276" s="91" t="n"/>
      <c r="U276" s="86" t="n"/>
      <c r="V276" s="86" t="n"/>
      <c r="W276" s="2" t="n"/>
      <c r="X276" s="87" t="n"/>
    </row>
    <row r="277">
      <c r="A277" s="4" t="n"/>
      <c r="B277" s="65" t="n"/>
      <c r="C277" s="65" t="n"/>
      <c r="D277" s="65" t="n"/>
      <c r="E277" s="2" t="n"/>
      <c r="F277" s="2" t="n"/>
      <c r="L277" s="1" t="n"/>
      <c r="M277" s="2" t="n"/>
      <c r="N277" s="2" t="n"/>
      <c r="O277" s="2" t="n"/>
      <c r="P277" s="2" t="n"/>
      <c r="Q277" s="2" t="n"/>
      <c r="R277" s="2" t="n"/>
      <c r="T277" s="91" t="n"/>
      <c r="U277" s="86" t="n"/>
      <c r="V277" s="86" t="n"/>
      <c r="W277" s="2" t="n"/>
      <c r="X277" s="87" t="n"/>
    </row>
    <row r="278">
      <c r="A278" s="4" t="n"/>
      <c r="B278" s="65" t="n"/>
      <c r="C278" s="65" t="n"/>
      <c r="D278" s="65" t="n"/>
      <c r="E278" s="2" t="n"/>
      <c r="F278" s="2" t="n"/>
      <c r="L278" s="1" t="n"/>
      <c r="M278" s="2" t="n"/>
      <c r="N278" s="2" t="n"/>
      <c r="O278" s="2" t="n"/>
      <c r="P278" s="2" t="n"/>
      <c r="Q278" s="2" t="n"/>
      <c r="R278" s="2" t="n"/>
      <c r="T278" s="91" t="n"/>
      <c r="U278" s="86" t="n"/>
      <c r="V278" s="86" t="n"/>
      <c r="W278" s="2" t="n"/>
      <c r="X278" s="87" t="n"/>
    </row>
    <row r="279">
      <c r="A279" s="4" t="n"/>
      <c r="B279" s="65" t="n"/>
      <c r="C279" s="65" t="n"/>
      <c r="D279" s="65" t="n"/>
      <c r="E279" s="2" t="n"/>
      <c r="F279" s="2" t="n"/>
      <c r="L279" s="1" t="n"/>
      <c r="M279" s="2" t="n"/>
      <c r="N279" s="2" t="n"/>
      <c r="O279" s="2" t="n"/>
      <c r="P279" s="2" t="n"/>
      <c r="Q279" s="2" t="n"/>
      <c r="R279" s="2" t="n"/>
      <c r="T279" s="91" t="n"/>
      <c r="U279" s="86" t="n"/>
      <c r="V279" s="86" t="n"/>
      <c r="W279" s="2" t="n"/>
      <c r="X279" s="87" t="n"/>
    </row>
    <row r="280">
      <c r="A280" s="4" t="n"/>
      <c r="B280" s="65" t="n"/>
      <c r="C280" s="65" t="n"/>
      <c r="D280" s="65" t="n"/>
      <c r="E280" s="2" t="n"/>
      <c r="F280" s="2" t="n"/>
      <c r="L280" s="1" t="n"/>
      <c r="M280" s="2" t="n"/>
      <c r="N280" s="2" t="n"/>
      <c r="O280" s="2" t="n"/>
      <c r="P280" s="2" t="n"/>
      <c r="Q280" s="2" t="n"/>
      <c r="R280" s="2" t="n"/>
      <c r="T280" s="91" t="n"/>
      <c r="U280" s="86" t="n"/>
      <c r="V280" s="86" t="n"/>
      <c r="W280" s="2" t="n"/>
      <c r="X280" s="87" t="n"/>
    </row>
    <row r="281">
      <c r="A281" s="4" t="n"/>
      <c r="B281" s="65" t="n"/>
      <c r="C281" s="65" t="n"/>
      <c r="D281" s="65" t="n"/>
      <c r="E281" s="2" t="n"/>
      <c r="F281" s="2" t="n"/>
      <c r="L281" s="1" t="n"/>
      <c r="M281" s="2" t="n"/>
      <c r="N281" s="2" t="n"/>
      <c r="O281" s="2" t="n"/>
      <c r="P281" s="2" t="n"/>
      <c r="Q281" s="2" t="n"/>
      <c r="R281" s="2" t="n"/>
      <c r="T281" s="91" t="n"/>
      <c r="U281" s="86" t="n"/>
      <c r="V281" s="86" t="n"/>
      <c r="W281" s="2" t="n"/>
      <c r="X281" s="87" t="n"/>
    </row>
    <row r="282">
      <c r="A282" s="4" t="n"/>
      <c r="B282" s="65" t="n"/>
      <c r="C282" s="65" t="n"/>
      <c r="D282" s="65" t="n"/>
      <c r="E282" s="2" t="n"/>
      <c r="F282" s="2" t="n"/>
      <c r="L282" s="1" t="n"/>
      <c r="M282" s="2" t="n"/>
      <c r="N282" s="2" t="n"/>
      <c r="O282" s="2" t="n"/>
      <c r="P282" s="2" t="n"/>
      <c r="Q282" s="2" t="n"/>
      <c r="R282" s="2" t="n"/>
      <c r="T282" s="91" t="n"/>
      <c r="U282" s="86" t="n"/>
      <c r="V282" s="86" t="n"/>
      <c r="W282" s="2" t="n"/>
      <c r="X282" s="87" t="n"/>
    </row>
    <row r="283">
      <c r="A283" s="4" t="n"/>
      <c r="B283" s="65" t="n"/>
      <c r="C283" s="65" t="n"/>
      <c r="D283" s="65" t="n"/>
      <c r="E283" s="2" t="n"/>
      <c r="F283" s="2" t="n"/>
      <c r="L283" s="1" t="n"/>
      <c r="M283" s="2" t="n"/>
      <c r="N283" s="2" t="n"/>
      <c r="O283" s="2" t="n"/>
      <c r="P283" s="2" t="n"/>
      <c r="Q283" s="2" t="n"/>
      <c r="R283" s="2" t="n"/>
      <c r="T283" s="91" t="n"/>
      <c r="U283" s="86" t="n"/>
      <c r="V283" s="86" t="n"/>
      <c r="W283" s="2" t="n"/>
      <c r="X283" s="87" t="n"/>
    </row>
    <row r="284">
      <c r="A284" s="4" t="n"/>
      <c r="B284" s="65" t="n"/>
      <c r="C284" s="65" t="n"/>
      <c r="D284" s="65" t="n"/>
      <c r="E284" s="2" t="n"/>
      <c r="F284" s="2" t="n"/>
      <c r="L284" s="1" t="n"/>
      <c r="M284" s="2" t="n"/>
      <c r="N284" s="2" t="n"/>
      <c r="O284" s="2" t="n"/>
      <c r="P284" s="2" t="n"/>
      <c r="Q284" s="2" t="n"/>
      <c r="R284" s="2" t="n"/>
      <c r="T284" s="91" t="n"/>
      <c r="U284" s="86" t="n"/>
      <c r="V284" s="86" t="n"/>
      <c r="W284" s="2" t="n"/>
      <c r="X284" s="87" t="n"/>
    </row>
    <row r="285">
      <c r="A285" s="4" t="n"/>
      <c r="B285" s="65" t="n"/>
      <c r="C285" s="65" t="n"/>
      <c r="D285" s="65" t="n"/>
      <c r="E285" s="2" t="n"/>
      <c r="F285" s="2" t="n"/>
      <c r="L285" s="1" t="n"/>
      <c r="M285" s="2" t="n"/>
      <c r="N285" s="2" t="n"/>
      <c r="O285" s="2" t="n"/>
      <c r="P285" s="2" t="n"/>
      <c r="Q285" s="2" t="n"/>
      <c r="R285" s="2" t="n"/>
      <c r="T285" s="91" t="n"/>
      <c r="U285" s="86" t="n"/>
      <c r="V285" s="86" t="n"/>
      <c r="W285" s="2" t="n"/>
      <c r="X285" s="87" t="n"/>
    </row>
    <row r="286">
      <c r="A286" s="4" t="n"/>
      <c r="B286" s="65" t="n"/>
      <c r="C286" s="65" t="n"/>
      <c r="D286" s="65" t="n"/>
      <c r="E286" s="2" t="n"/>
      <c r="F286" s="2" t="n"/>
      <c r="L286" s="1" t="n"/>
      <c r="M286" s="2" t="n"/>
      <c r="N286" s="2" t="n"/>
      <c r="O286" s="2" t="n"/>
      <c r="P286" s="2" t="n"/>
      <c r="Q286" s="2" t="n"/>
      <c r="R286" s="2" t="n"/>
      <c r="T286" s="91" t="n"/>
      <c r="U286" s="86" t="n"/>
      <c r="V286" s="86" t="n"/>
      <c r="W286" s="2" t="n"/>
      <c r="X286" s="87" t="n"/>
    </row>
    <row r="287">
      <c r="A287" s="4" t="n"/>
      <c r="B287" s="65" t="n"/>
      <c r="C287" s="65" t="n"/>
      <c r="D287" s="65" t="n"/>
      <c r="E287" s="2" t="n"/>
      <c r="F287" s="2" t="n"/>
      <c r="L287" s="1" t="n"/>
      <c r="M287" s="2" t="n"/>
      <c r="N287" s="2" t="n"/>
      <c r="O287" s="2" t="n"/>
      <c r="P287" s="2" t="n"/>
      <c r="Q287" s="2" t="n"/>
      <c r="R287" s="2" t="n"/>
      <c r="T287" s="91" t="n"/>
      <c r="U287" s="86" t="n"/>
      <c r="V287" s="86" t="n"/>
      <c r="W287" s="2" t="n"/>
      <c r="X287" s="87" t="n"/>
    </row>
    <row r="288">
      <c r="A288" s="4" t="n"/>
      <c r="B288" s="65" t="n"/>
      <c r="C288" s="65" t="n"/>
      <c r="D288" s="65" t="n"/>
      <c r="E288" s="2" t="n"/>
      <c r="F288" s="2" t="n"/>
      <c r="L288" s="1" t="n"/>
      <c r="M288" s="2" t="n"/>
      <c r="N288" s="2" t="n"/>
      <c r="O288" s="2" t="n"/>
      <c r="P288" s="2" t="n"/>
      <c r="Q288" s="2" t="n"/>
      <c r="R288" s="2" t="n"/>
      <c r="T288" s="91" t="n"/>
      <c r="U288" s="86" t="n"/>
      <c r="V288" s="86" t="n"/>
      <c r="W288" s="2" t="n"/>
      <c r="X288" s="87" t="n"/>
    </row>
    <row r="289">
      <c r="A289" s="4" t="n"/>
      <c r="B289" s="65" t="n"/>
      <c r="C289" s="65" t="n"/>
      <c r="D289" s="65" t="n"/>
      <c r="E289" s="2" t="n"/>
      <c r="F289" s="2" t="n"/>
      <c r="L289" s="1" t="n"/>
      <c r="M289" s="2" t="n"/>
      <c r="N289" s="2" t="n"/>
      <c r="O289" s="2" t="n"/>
      <c r="P289" s="2" t="n"/>
      <c r="Q289" s="2" t="n"/>
      <c r="R289" s="2" t="n"/>
      <c r="T289" s="91" t="n"/>
      <c r="U289" s="86" t="n"/>
      <c r="V289" s="86" t="n"/>
      <c r="W289" s="2" t="n"/>
      <c r="X289" s="87" t="n"/>
    </row>
    <row r="290">
      <c r="A290" s="4" t="n"/>
      <c r="B290" s="65" t="n"/>
      <c r="C290" s="65" t="n"/>
      <c r="D290" s="65" t="n"/>
      <c r="E290" s="2" t="n"/>
      <c r="F290" s="2" t="n"/>
      <c r="L290" s="1" t="n"/>
      <c r="M290" s="2" t="n"/>
      <c r="N290" s="2" t="n"/>
      <c r="O290" s="2" t="n"/>
      <c r="P290" s="2" t="n"/>
      <c r="Q290" s="2" t="n"/>
      <c r="R290" s="2" t="n"/>
      <c r="T290" s="91" t="n"/>
      <c r="U290" s="86" t="n"/>
      <c r="V290" s="86" t="n"/>
      <c r="W290" s="2" t="n"/>
      <c r="X290" s="87" t="n"/>
    </row>
    <row r="291">
      <c r="A291" s="4" t="n"/>
      <c r="B291" s="65" t="n"/>
      <c r="C291" s="65" t="n"/>
      <c r="D291" s="65" t="n"/>
      <c r="E291" s="2" t="n"/>
      <c r="F291" s="2" t="n"/>
      <c r="L291" s="1" t="n"/>
      <c r="M291" s="2" t="n"/>
      <c r="N291" s="2" t="n"/>
      <c r="O291" s="2" t="n"/>
      <c r="P291" s="2" t="n"/>
      <c r="Q291" s="2" t="n"/>
      <c r="R291" s="2" t="n"/>
      <c r="T291" s="91" t="n"/>
      <c r="U291" s="86" t="n"/>
      <c r="V291" s="86" t="n"/>
      <c r="W291" s="2" t="n"/>
      <c r="X291" s="87" t="n"/>
    </row>
    <row r="292">
      <c r="A292" s="4" t="n"/>
      <c r="B292" s="65" t="n"/>
      <c r="C292" s="65" t="n"/>
      <c r="D292" s="65" t="n"/>
      <c r="E292" s="2" t="n"/>
      <c r="F292" s="2" t="n"/>
      <c r="L292" s="1" t="n"/>
      <c r="M292" s="2" t="n"/>
      <c r="N292" s="2" t="n"/>
      <c r="O292" s="2" t="n"/>
      <c r="P292" s="2" t="n"/>
      <c r="Q292" s="2" t="n"/>
      <c r="R292" s="2" t="n"/>
      <c r="T292" s="91" t="n"/>
      <c r="U292" s="86" t="n"/>
      <c r="V292" s="86" t="n"/>
      <c r="W292" s="2" t="n"/>
      <c r="X292" s="87" t="n"/>
    </row>
    <row r="293">
      <c r="A293" s="4" t="n"/>
      <c r="B293" s="65" t="n"/>
      <c r="C293" s="65" t="n"/>
      <c r="D293" s="65" t="n"/>
      <c r="E293" s="2" t="n"/>
      <c r="F293" s="2" t="n"/>
      <c r="L293" s="1" t="n"/>
      <c r="M293" s="2" t="n"/>
      <c r="N293" s="2" t="n"/>
      <c r="O293" s="2" t="n"/>
      <c r="P293" s="2" t="n"/>
      <c r="Q293" s="2" t="n"/>
      <c r="R293" s="2" t="n"/>
      <c r="T293" s="91" t="n"/>
      <c r="U293" s="86" t="n"/>
      <c r="V293" s="86" t="n"/>
      <c r="W293" s="2" t="n"/>
      <c r="X293" s="87" t="n"/>
    </row>
    <row r="294">
      <c r="A294" s="4" t="n"/>
      <c r="B294" s="65" t="n"/>
      <c r="C294" s="65" t="n"/>
      <c r="D294" s="65" t="n"/>
      <c r="E294" s="2" t="n"/>
      <c r="F294" s="2" t="n"/>
      <c r="L294" s="1" t="n"/>
      <c r="M294" s="2" t="n"/>
      <c r="N294" s="2" t="n"/>
      <c r="O294" s="2" t="n"/>
      <c r="P294" s="2" t="n"/>
      <c r="Q294" s="2" t="n"/>
      <c r="R294" s="2" t="n"/>
      <c r="T294" s="91" t="n"/>
      <c r="U294" s="86" t="n"/>
      <c r="V294" s="86" t="n"/>
      <c r="W294" s="2" t="n"/>
      <c r="X294" s="87" t="n"/>
    </row>
    <row r="295">
      <c r="A295" s="4" t="n"/>
      <c r="B295" s="65" t="n"/>
      <c r="C295" s="65" t="n"/>
      <c r="D295" s="65" t="n"/>
      <c r="E295" s="2" t="n"/>
      <c r="F295" s="2" t="n"/>
      <c r="L295" s="1" t="n"/>
      <c r="M295" s="2" t="n"/>
      <c r="N295" s="2" t="n"/>
      <c r="O295" s="2" t="n"/>
      <c r="P295" s="2" t="n"/>
      <c r="Q295" s="2" t="n"/>
      <c r="R295" s="2" t="n"/>
      <c r="T295" s="91" t="n"/>
      <c r="U295" s="86" t="n"/>
      <c r="V295" s="86" t="n"/>
      <c r="W295" s="2" t="n"/>
      <c r="X295" s="87" t="n"/>
    </row>
    <row r="296">
      <c r="A296" s="4" t="n"/>
      <c r="B296" s="65" t="n"/>
      <c r="C296" s="65" t="n"/>
      <c r="D296" s="65" t="n"/>
      <c r="E296" s="2" t="n"/>
      <c r="F296" s="2" t="n"/>
      <c r="L296" s="1" t="n"/>
      <c r="M296" s="2" t="n"/>
      <c r="N296" s="2" t="n"/>
      <c r="O296" s="2" t="n"/>
      <c r="P296" s="2" t="n"/>
      <c r="Q296" s="2" t="n"/>
      <c r="R296" s="2" t="n"/>
      <c r="T296" s="91" t="n"/>
      <c r="U296" s="86" t="n"/>
      <c r="V296" s="86" t="n"/>
      <c r="W296" s="2" t="n"/>
      <c r="X296" s="87" t="n"/>
    </row>
    <row r="297">
      <c r="A297" s="4" t="n"/>
      <c r="B297" s="65" t="n"/>
      <c r="C297" s="65" t="n"/>
      <c r="D297" s="65" t="n"/>
      <c r="E297" s="2" t="n"/>
      <c r="F297" s="2" t="n"/>
      <c r="L297" s="1" t="n"/>
      <c r="M297" s="2" t="n"/>
      <c r="N297" s="2" t="n"/>
      <c r="O297" s="2" t="n"/>
      <c r="P297" s="2" t="n"/>
      <c r="Q297" s="2" t="n"/>
      <c r="R297" s="2" t="n"/>
      <c r="T297" s="91" t="n"/>
      <c r="U297" s="86" t="n"/>
      <c r="V297" s="86" t="n"/>
      <c r="W297" s="2" t="n"/>
      <c r="X297" s="87" t="n"/>
    </row>
    <row r="298">
      <c r="A298" s="4" t="n"/>
      <c r="B298" s="65" t="n"/>
      <c r="C298" s="65" t="n"/>
      <c r="D298" s="65" t="n"/>
      <c r="E298" s="2" t="n"/>
      <c r="F298" s="2" t="n"/>
      <c r="L298" s="1" t="n"/>
      <c r="M298" s="2" t="n"/>
      <c r="N298" s="2" t="n"/>
      <c r="O298" s="2" t="n"/>
      <c r="P298" s="2" t="n"/>
      <c r="Q298" s="2" t="n"/>
      <c r="R298" s="2" t="n"/>
      <c r="T298" s="91" t="n"/>
      <c r="U298" s="86" t="n"/>
      <c r="V298" s="86" t="n"/>
      <c r="W298" s="2" t="n"/>
      <c r="X298" s="87" t="n"/>
    </row>
    <row r="299">
      <c r="A299" s="4" t="n"/>
      <c r="B299" s="65" t="n"/>
      <c r="C299" s="65" t="n"/>
      <c r="D299" s="65" t="n"/>
      <c r="E299" s="2" t="n"/>
      <c r="F299" s="2" t="n"/>
      <c r="L299" s="1" t="n"/>
      <c r="M299" s="2" t="n"/>
      <c r="N299" s="2" t="n"/>
      <c r="O299" s="2" t="n"/>
      <c r="P299" s="2" t="n"/>
      <c r="Q299" s="2" t="n"/>
      <c r="R299" s="2" t="n"/>
      <c r="T299" s="91" t="n"/>
      <c r="U299" s="86" t="n"/>
      <c r="V299" s="86" t="n"/>
      <c r="W299" s="2" t="n"/>
      <c r="X299" s="87" t="n"/>
    </row>
    <row r="300">
      <c r="A300" s="4" t="n"/>
      <c r="B300" s="65" t="n"/>
      <c r="C300" s="65" t="n"/>
      <c r="D300" s="65" t="n"/>
      <c r="E300" s="2" t="n"/>
      <c r="F300" s="2" t="n"/>
      <c r="L300" s="1" t="n"/>
      <c r="M300" s="2" t="n"/>
      <c r="N300" s="2" t="n"/>
      <c r="O300" s="2" t="n"/>
      <c r="P300" s="2" t="n"/>
      <c r="Q300" s="2" t="n"/>
      <c r="R300" s="2" t="n"/>
      <c r="T300" s="91" t="n"/>
      <c r="U300" s="86" t="n"/>
      <c r="V300" s="86" t="n"/>
      <c r="W300" s="2" t="n"/>
      <c r="X300" s="87" t="n"/>
    </row>
    <row r="301">
      <c r="A301" s="4" t="n"/>
      <c r="B301" s="65" t="n"/>
      <c r="C301" s="65" t="n"/>
      <c r="D301" s="65" t="n"/>
      <c r="E301" s="2" t="n"/>
      <c r="F301" s="2" t="n"/>
      <c r="L301" s="1" t="n"/>
      <c r="M301" s="2" t="n"/>
      <c r="N301" s="2" t="n"/>
      <c r="O301" s="2" t="n"/>
      <c r="P301" s="2" t="n"/>
      <c r="Q301" s="2" t="n"/>
      <c r="R301" s="2" t="n"/>
      <c r="T301" s="91" t="n"/>
      <c r="U301" s="86" t="n"/>
      <c r="V301" s="86" t="n"/>
      <c r="W301" s="2" t="n"/>
      <c r="X301" s="87" t="n"/>
    </row>
    <row r="302">
      <c r="A302" s="4" t="n"/>
      <c r="B302" s="65" t="n"/>
      <c r="C302" s="65" t="n"/>
      <c r="D302" s="65" t="n"/>
      <c r="E302" s="2" t="n"/>
      <c r="F302" s="2" t="n"/>
      <c r="L302" s="1" t="n"/>
      <c r="M302" s="2" t="n"/>
      <c r="N302" s="2" t="n"/>
      <c r="O302" s="2" t="n"/>
      <c r="P302" s="2" t="n"/>
      <c r="Q302" s="2" t="n"/>
      <c r="R302" s="2" t="n"/>
      <c r="T302" s="91" t="n"/>
      <c r="U302" s="86" t="n"/>
      <c r="V302" s="86" t="n"/>
      <c r="W302" s="2" t="n"/>
      <c r="X302" s="87" t="n"/>
    </row>
    <row r="303">
      <c r="A303" s="4" t="n"/>
      <c r="B303" s="65" t="n"/>
      <c r="C303" s="65" t="n"/>
      <c r="D303" s="65" t="n"/>
      <c r="E303" s="2" t="n"/>
      <c r="F303" s="2" t="n"/>
      <c r="L303" s="1" t="n"/>
      <c r="M303" s="2" t="n"/>
      <c r="N303" s="2" t="n"/>
      <c r="O303" s="2" t="n"/>
      <c r="P303" s="2" t="n"/>
      <c r="Q303" s="2" t="n"/>
      <c r="R303" s="2" t="n"/>
      <c r="T303" s="91" t="n"/>
      <c r="U303" s="86" t="n"/>
      <c r="V303" s="86" t="n"/>
      <c r="W303" s="2" t="n"/>
      <c r="X303" s="87" t="n"/>
    </row>
    <row r="304">
      <c r="A304" s="4" t="n"/>
      <c r="B304" s="65" t="n"/>
      <c r="C304" s="65" t="n"/>
      <c r="D304" s="65" t="n"/>
      <c r="E304" s="2" t="n"/>
      <c r="F304" s="2" t="n"/>
      <c r="L304" s="1" t="n"/>
      <c r="M304" s="2" t="n"/>
      <c r="N304" s="2" t="n"/>
      <c r="O304" s="2" t="n"/>
      <c r="P304" s="2" t="n"/>
      <c r="Q304" s="2" t="n"/>
      <c r="R304" s="2" t="n"/>
      <c r="T304" s="91" t="n"/>
      <c r="U304" s="86" t="n"/>
      <c r="V304" s="86" t="n"/>
      <c r="W304" s="2" t="n"/>
      <c r="X304" s="87" t="n"/>
    </row>
    <row r="305">
      <c r="A305" s="4" t="n"/>
      <c r="B305" s="65" t="n"/>
      <c r="C305" s="65" t="n"/>
      <c r="D305" s="65" t="n"/>
      <c r="E305" s="2" t="n"/>
      <c r="F305" s="2" t="n"/>
      <c r="L305" s="1" t="n"/>
      <c r="M305" s="2" t="n"/>
      <c r="N305" s="2" t="n"/>
      <c r="O305" s="2" t="n"/>
      <c r="P305" s="2" t="n"/>
      <c r="Q305" s="2" t="n"/>
      <c r="R305" s="2" t="n"/>
      <c r="T305" s="91" t="n"/>
      <c r="U305" s="86" t="n"/>
      <c r="V305" s="86" t="n"/>
      <c r="W305" s="2" t="n"/>
      <c r="X305" s="87" t="n"/>
    </row>
    <row r="306">
      <c r="A306" s="4" t="n"/>
      <c r="B306" s="65" t="n"/>
      <c r="C306" s="65" t="n"/>
      <c r="D306" s="65" t="n"/>
      <c r="E306" s="2" t="n"/>
      <c r="F306" s="2" t="n"/>
      <c r="L306" s="1" t="n"/>
      <c r="M306" s="2" t="n"/>
      <c r="N306" s="2" t="n"/>
      <c r="O306" s="2" t="n"/>
      <c r="P306" s="2" t="n"/>
      <c r="Q306" s="2" t="n"/>
      <c r="R306" s="2" t="n"/>
      <c r="T306" s="91" t="n"/>
      <c r="U306" s="86" t="n"/>
      <c r="V306" s="86" t="n"/>
      <c r="W306" s="2" t="n"/>
      <c r="X306" s="87" t="n"/>
    </row>
    <row r="307">
      <c r="A307" s="4" t="n"/>
      <c r="B307" s="65" t="n"/>
      <c r="C307" s="65" t="n"/>
      <c r="D307" s="65" t="n"/>
      <c r="E307" s="2" t="n"/>
      <c r="F307" s="2" t="n"/>
      <c r="L307" s="1" t="n"/>
      <c r="M307" s="2" t="n"/>
      <c r="N307" s="2" t="n"/>
      <c r="O307" s="2" t="n"/>
      <c r="P307" s="2" t="n"/>
      <c r="Q307" s="2" t="n"/>
      <c r="R307" s="2" t="n"/>
      <c r="T307" s="91" t="n"/>
      <c r="U307" s="86" t="n"/>
      <c r="V307" s="86" t="n"/>
      <c r="W307" s="2" t="n"/>
      <c r="X307" s="87" t="n"/>
    </row>
    <row r="308">
      <c r="A308" s="4" t="n"/>
      <c r="B308" s="65" t="n"/>
      <c r="C308" s="65" t="n"/>
      <c r="D308" s="65" t="n"/>
      <c r="E308" s="2" t="n"/>
      <c r="F308" s="2" t="n"/>
      <c r="L308" s="1" t="n"/>
      <c r="M308" s="2" t="n"/>
      <c r="N308" s="2" t="n"/>
      <c r="O308" s="2" t="n"/>
      <c r="P308" s="2" t="n"/>
      <c r="Q308" s="2" t="n"/>
      <c r="R308" s="2" t="n"/>
      <c r="T308" s="91" t="n"/>
      <c r="U308" s="86" t="n"/>
      <c r="V308" s="86" t="n"/>
      <c r="W308" s="2" t="n"/>
      <c r="X308" s="87" t="n"/>
    </row>
    <row r="309">
      <c r="A309" s="4" t="n"/>
      <c r="B309" s="65" t="n"/>
      <c r="C309" s="65" t="n"/>
      <c r="D309" s="65" t="n"/>
      <c r="E309" s="2" t="n"/>
      <c r="F309" s="2" t="n"/>
      <c r="L309" s="1" t="n"/>
      <c r="M309" s="2" t="n"/>
      <c r="N309" s="2" t="n"/>
      <c r="O309" s="2" t="n"/>
      <c r="P309" s="2" t="n"/>
      <c r="Q309" s="2" t="n"/>
      <c r="R309" s="2" t="n"/>
      <c r="T309" s="91" t="n"/>
      <c r="U309" s="86" t="n"/>
      <c r="V309" s="86" t="n"/>
      <c r="W309" s="2" t="n"/>
      <c r="X309" s="87" t="n"/>
    </row>
    <row r="310">
      <c r="A310" s="4" t="n"/>
      <c r="B310" s="65" t="n"/>
      <c r="C310" s="65" t="n"/>
      <c r="D310" s="65" t="n"/>
      <c r="E310" s="2" t="n"/>
      <c r="F310" s="2" t="n"/>
      <c r="L310" s="1" t="n"/>
      <c r="M310" s="2" t="n"/>
      <c r="N310" s="2" t="n"/>
      <c r="O310" s="2" t="n"/>
      <c r="P310" s="2" t="n"/>
      <c r="Q310" s="2" t="n"/>
      <c r="R310" s="2" t="n"/>
      <c r="T310" s="91" t="n"/>
      <c r="U310" s="86" t="n"/>
      <c r="V310" s="86" t="n"/>
      <c r="W310" s="2" t="n"/>
      <c r="X310" s="87" t="n"/>
    </row>
    <row r="311">
      <c r="A311" s="4" t="n"/>
      <c r="B311" s="65" t="n"/>
      <c r="C311" s="65" t="n"/>
      <c r="D311" s="65" t="n"/>
      <c r="E311" s="2" t="n"/>
      <c r="F311" s="2" t="n"/>
      <c r="L311" s="1" t="n"/>
      <c r="M311" s="2" t="n"/>
      <c r="N311" s="2" t="n"/>
      <c r="O311" s="2" t="n"/>
      <c r="P311" s="2" t="n"/>
      <c r="Q311" s="2" t="n"/>
      <c r="R311" s="2" t="n"/>
      <c r="T311" s="91" t="n"/>
      <c r="U311" s="86" t="n"/>
      <c r="V311" s="86" t="n"/>
      <c r="W311" s="2" t="n"/>
      <c r="X311" s="87" t="n"/>
    </row>
    <row r="312">
      <c r="A312" s="4" t="n"/>
      <c r="B312" s="65" t="n"/>
      <c r="C312" s="65" t="n"/>
      <c r="D312" s="65" t="n"/>
      <c r="E312" s="2" t="n"/>
      <c r="F312" s="2" t="n"/>
      <c r="L312" s="1" t="n"/>
      <c r="M312" s="2" t="n"/>
      <c r="N312" s="2" t="n"/>
      <c r="O312" s="2" t="n"/>
      <c r="P312" s="2" t="n"/>
      <c r="Q312" s="2" t="n"/>
      <c r="R312" s="2" t="n"/>
      <c r="T312" s="91" t="n"/>
      <c r="U312" s="86" t="n"/>
      <c r="V312" s="86" t="n"/>
      <c r="W312" s="2" t="n"/>
      <c r="X312" s="87" t="n"/>
    </row>
    <row r="313">
      <c r="A313" s="4" t="n"/>
      <c r="B313" s="65" t="n"/>
      <c r="C313" s="65" t="n"/>
      <c r="D313" s="65" t="n"/>
      <c r="E313" s="2" t="n"/>
      <c r="F313" s="2" t="n"/>
      <c r="L313" s="1" t="n"/>
      <c r="M313" s="2" t="n"/>
      <c r="N313" s="2" t="n"/>
      <c r="O313" s="2" t="n"/>
      <c r="P313" s="2" t="n"/>
      <c r="Q313" s="2" t="n"/>
      <c r="R313" s="2" t="n"/>
      <c r="T313" s="91" t="n"/>
      <c r="U313" s="86" t="n"/>
      <c r="V313" s="86" t="n"/>
      <c r="W313" s="2" t="n"/>
      <c r="X313" s="87" t="n"/>
    </row>
    <row r="314">
      <c r="A314" s="4" t="n"/>
      <c r="B314" s="65" t="n"/>
      <c r="C314" s="65" t="n"/>
      <c r="D314" s="65" t="n"/>
      <c r="E314" s="2" t="n"/>
      <c r="F314" s="2" t="n"/>
      <c r="L314" s="1" t="n"/>
      <c r="M314" s="2" t="n"/>
      <c r="N314" s="2" t="n"/>
      <c r="O314" s="2" t="n"/>
      <c r="P314" s="2" t="n"/>
      <c r="Q314" s="2" t="n"/>
      <c r="R314" s="2" t="n"/>
      <c r="T314" s="91" t="n"/>
      <c r="U314" s="86" t="n"/>
      <c r="V314" s="86" t="n"/>
      <c r="W314" s="2" t="n"/>
      <c r="X314" s="87" t="n"/>
    </row>
    <row r="315">
      <c r="A315" s="4" t="n"/>
      <c r="B315" s="65" t="n"/>
      <c r="C315" s="65" t="n"/>
      <c r="D315" s="65" t="n"/>
      <c r="E315" s="2" t="n"/>
      <c r="F315" s="2" t="n"/>
      <c r="L315" s="1" t="n"/>
      <c r="M315" s="2" t="n"/>
      <c r="N315" s="2" t="n"/>
      <c r="O315" s="2" t="n"/>
      <c r="P315" s="2" t="n"/>
      <c r="Q315" s="2" t="n"/>
      <c r="R315" s="2" t="n"/>
      <c r="T315" s="91" t="n"/>
      <c r="U315" s="86" t="n"/>
      <c r="V315" s="86" t="n"/>
      <c r="W315" s="2" t="n"/>
      <c r="X315" s="87" t="n"/>
    </row>
    <row r="316">
      <c r="A316" s="4" t="n"/>
      <c r="B316" s="65" t="n"/>
      <c r="C316" s="65" t="n"/>
      <c r="D316" s="65" t="n"/>
      <c r="E316" s="2" t="n"/>
      <c r="F316" s="2" t="n"/>
      <c r="L316" s="1" t="n"/>
      <c r="M316" s="2" t="n"/>
      <c r="N316" s="2" t="n"/>
      <c r="O316" s="2" t="n"/>
      <c r="P316" s="2" t="n"/>
      <c r="Q316" s="2" t="n"/>
      <c r="R316" s="2" t="n"/>
      <c r="T316" s="91" t="n"/>
      <c r="U316" s="86" t="n"/>
      <c r="V316" s="86" t="n"/>
      <c r="W316" s="2" t="n"/>
      <c r="X316" s="87" t="n"/>
    </row>
    <row r="317">
      <c r="A317" s="4" t="n"/>
      <c r="B317" s="65" t="n"/>
      <c r="C317" s="65" t="n"/>
      <c r="D317" s="65" t="n"/>
      <c r="E317" s="2" t="n"/>
      <c r="F317" s="2" t="n"/>
      <c r="L317" s="1" t="n"/>
      <c r="M317" s="2" t="n"/>
      <c r="N317" s="2" t="n"/>
      <c r="O317" s="2" t="n"/>
      <c r="P317" s="2" t="n"/>
      <c r="Q317" s="2" t="n"/>
      <c r="R317" s="2" t="n"/>
      <c r="T317" s="91" t="n"/>
      <c r="U317" s="86" t="n"/>
      <c r="V317" s="86" t="n"/>
      <c r="W317" s="2" t="n"/>
      <c r="X317" s="87" t="n"/>
    </row>
    <row r="318">
      <c r="A318" s="4" t="n"/>
      <c r="B318" s="65" t="n"/>
      <c r="C318" s="65" t="n"/>
      <c r="D318" s="65" t="n"/>
      <c r="E318" s="2" t="n"/>
      <c r="F318" s="2" t="n"/>
      <c r="L318" s="1" t="n"/>
      <c r="M318" s="2" t="n"/>
      <c r="N318" s="2" t="n"/>
      <c r="O318" s="2" t="n"/>
      <c r="P318" s="2" t="n"/>
      <c r="Q318" s="2" t="n"/>
      <c r="R318" s="2" t="n"/>
      <c r="T318" s="91" t="n"/>
      <c r="U318" s="86" t="n"/>
      <c r="V318" s="86" t="n"/>
      <c r="W318" s="2" t="n"/>
      <c r="X318" s="87" t="n"/>
    </row>
    <row r="319">
      <c r="A319" s="4" t="n"/>
      <c r="B319" s="65" t="n"/>
      <c r="C319" s="65" t="n"/>
      <c r="D319" s="65" t="n"/>
      <c r="E319" s="2" t="n"/>
      <c r="F319" s="2" t="n"/>
      <c r="L319" s="1" t="n"/>
      <c r="M319" s="2" t="n"/>
      <c r="N319" s="2" t="n"/>
      <c r="O319" s="2" t="n"/>
      <c r="P319" s="2" t="n"/>
      <c r="Q319" s="2" t="n"/>
      <c r="R319" s="2" t="n"/>
      <c r="T319" s="91" t="n"/>
      <c r="U319" s="86" t="n"/>
      <c r="V319" s="86" t="n"/>
      <c r="W319" s="2" t="n"/>
      <c r="X319" s="87" t="n"/>
    </row>
    <row r="320">
      <c r="A320" s="4" t="n"/>
      <c r="B320" s="65" t="n"/>
      <c r="C320" s="65" t="n"/>
      <c r="D320" s="65" t="n"/>
      <c r="E320" s="2" t="n"/>
      <c r="F320" s="2" t="n"/>
      <c r="L320" s="1" t="n"/>
      <c r="M320" s="2" t="n"/>
      <c r="N320" s="2" t="n"/>
      <c r="O320" s="2" t="n"/>
      <c r="P320" s="2" t="n"/>
      <c r="Q320" s="2" t="n"/>
      <c r="R320" s="2" t="n"/>
      <c r="T320" s="91" t="n"/>
      <c r="U320" s="86" t="n"/>
      <c r="V320" s="86" t="n"/>
      <c r="W320" s="2" t="n"/>
      <c r="X320" s="87" t="n"/>
    </row>
    <row r="321">
      <c r="A321" s="4" t="n"/>
      <c r="B321" s="65" t="n"/>
      <c r="C321" s="65" t="n"/>
      <c r="D321" s="65" t="n"/>
      <c r="E321" s="2" t="n"/>
      <c r="F321" s="2" t="n"/>
      <c r="L321" s="1" t="n"/>
      <c r="M321" s="2" t="n"/>
      <c r="N321" s="2" t="n"/>
      <c r="O321" s="2" t="n"/>
      <c r="P321" s="2" t="n"/>
      <c r="Q321" s="2" t="n"/>
      <c r="R321" s="2" t="n"/>
      <c r="T321" s="91" t="n"/>
      <c r="U321" s="86" t="n"/>
      <c r="V321" s="86" t="n"/>
      <c r="W321" s="2" t="n"/>
      <c r="X321" s="87" t="n"/>
    </row>
    <row r="322">
      <c r="A322" s="4" t="n"/>
      <c r="B322" s="65" t="n"/>
      <c r="C322" s="65" t="n"/>
      <c r="D322" s="65" t="n"/>
      <c r="E322" s="2" t="n"/>
      <c r="F322" s="2" t="n"/>
      <c r="L322" s="1" t="n"/>
      <c r="M322" s="2" t="n"/>
      <c r="N322" s="2" t="n"/>
      <c r="O322" s="2" t="n"/>
      <c r="P322" s="2" t="n"/>
      <c r="Q322" s="2" t="n"/>
      <c r="R322" s="2" t="n"/>
      <c r="T322" s="91" t="n"/>
      <c r="U322" s="86" t="n"/>
      <c r="V322" s="86" t="n"/>
      <c r="W322" s="2" t="n"/>
      <c r="X322" s="87" t="n"/>
    </row>
    <row r="323">
      <c r="A323" s="4" t="n"/>
      <c r="B323" s="65" t="n"/>
      <c r="C323" s="65" t="n"/>
      <c r="D323" s="65" t="n"/>
      <c r="E323" s="2" t="n"/>
      <c r="F323" s="2" t="n"/>
      <c r="L323" s="1" t="n"/>
      <c r="M323" s="2" t="n"/>
      <c r="N323" s="2" t="n"/>
      <c r="O323" s="2" t="n"/>
      <c r="P323" s="2" t="n"/>
      <c r="Q323" s="2" t="n"/>
      <c r="R323" s="2" t="n"/>
      <c r="T323" s="91" t="n"/>
      <c r="U323" s="86" t="n"/>
      <c r="V323" s="86" t="n"/>
      <c r="W323" s="2" t="n"/>
      <c r="X323" s="87" t="n"/>
    </row>
    <row r="324">
      <c r="A324" s="4" t="n"/>
      <c r="B324" s="65" t="n"/>
      <c r="C324" s="65" t="n"/>
      <c r="D324" s="65" t="n"/>
      <c r="E324" s="2" t="n"/>
      <c r="F324" s="2" t="n"/>
      <c r="L324" s="1" t="n"/>
      <c r="M324" s="2" t="n"/>
      <c r="N324" s="2" t="n"/>
      <c r="O324" s="2" t="n"/>
      <c r="P324" s="2" t="n"/>
      <c r="Q324" s="2" t="n"/>
      <c r="R324" s="2" t="n"/>
      <c r="T324" s="91" t="n"/>
      <c r="U324" s="86" t="n"/>
      <c r="V324" s="86" t="n"/>
      <c r="W324" s="2" t="n"/>
      <c r="X324" s="87" t="n"/>
    </row>
    <row r="325">
      <c r="A325" s="4" t="n"/>
      <c r="B325" s="65" t="n"/>
      <c r="C325" s="65" t="n"/>
      <c r="D325" s="65" t="n"/>
      <c r="E325" s="2" t="n"/>
      <c r="F325" s="2" t="n"/>
      <c r="L325" s="1" t="n"/>
      <c r="M325" s="2" t="n"/>
      <c r="N325" s="2" t="n"/>
      <c r="O325" s="2" t="n"/>
      <c r="P325" s="2" t="n"/>
      <c r="Q325" s="2" t="n"/>
      <c r="R325" s="2" t="n"/>
      <c r="T325" s="91" t="n"/>
      <c r="U325" s="86" t="n"/>
      <c r="V325" s="86" t="n"/>
      <c r="W325" s="2" t="n"/>
      <c r="X325" s="87" t="n"/>
    </row>
    <row r="326">
      <c r="A326" s="4" t="n"/>
      <c r="B326" s="65" t="n"/>
      <c r="C326" s="65" t="n"/>
      <c r="D326" s="65" t="n"/>
      <c r="E326" s="2" t="n"/>
      <c r="F326" s="2" t="n"/>
      <c r="L326" s="1" t="n"/>
      <c r="M326" s="2" t="n"/>
      <c r="N326" s="2" t="n"/>
      <c r="O326" s="2" t="n"/>
      <c r="P326" s="2" t="n"/>
      <c r="Q326" s="2" t="n"/>
      <c r="R326" s="2" t="n"/>
      <c r="T326" s="91" t="n"/>
      <c r="U326" s="86" t="n"/>
      <c r="V326" s="86" t="n"/>
      <c r="W326" s="2" t="n"/>
      <c r="X326" s="87" t="n"/>
    </row>
    <row r="327">
      <c r="A327" s="4" t="n"/>
      <c r="B327" s="65" t="n"/>
      <c r="C327" s="65" t="n"/>
      <c r="D327" s="65" t="n"/>
      <c r="E327" s="2" t="n"/>
      <c r="F327" s="2" t="n"/>
      <c r="L327" s="1" t="n"/>
      <c r="M327" s="2" t="n"/>
      <c r="N327" s="2" t="n"/>
      <c r="O327" s="2" t="n"/>
      <c r="P327" s="2" t="n"/>
      <c r="Q327" s="2" t="n"/>
      <c r="R327" s="2" t="n"/>
      <c r="T327" s="91" t="n"/>
      <c r="U327" s="86" t="n"/>
      <c r="V327" s="86" t="n"/>
      <c r="W327" s="2" t="n"/>
      <c r="X327" s="87" t="n"/>
    </row>
    <row r="328">
      <c r="A328" s="4" t="n"/>
      <c r="B328" s="65" t="n"/>
      <c r="C328" s="65" t="n"/>
      <c r="D328" s="65" t="n"/>
      <c r="E328" s="2" t="n"/>
      <c r="F328" s="2" t="n"/>
      <c r="L328" s="1" t="n"/>
      <c r="M328" s="2" t="n"/>
      <c r="N328" s="2" t="n"/>
      <c r="O328" s="2" t="n"/>
      <c r="P328" s="2" t="n"/>
      <c r="Q328" s="2" t="n"/>
      <c r="R328" s="2" t="n"/>
      <c r="T328" s="91" t="n"/>
      <c r="U328" s="86" t="n"/>
      <c r="V328" s="86" t="n"/>
      <c r="W328" s="2" t="n"/>
      <c r="X328" s="87" t="n"/>
    </row>
    <row r="329">
      <c r="A329" s="4" t="n"/>
      <c r="B329" s="65" t="n"/>
      <c r="C329" s="65" t="n"/>
      <c r="D329" s="65" t="n"/>
      <c r="E329" s="2" t="n"/>
      <c r="F329" s="2" t="n"/>
      <c r="L329" s="1" t="n"/>
      <c r="M329" s="2" t="n"/>
      <c r="N329" s="2" t="n"/>
      <c r="O329" s="2" t="n"/>
      <c r="P329" s="2" t="n"/>
      <c r="Q329" s="2" t="n"/>
      <c r="R329" s="2" t="n"/>
      <c r="T329" s="91" t="n"/>
      <c r="U329" s="86" t="n"/>
      <c r="V329" s="86" t="n"/>
      <c r="W329" s="2" t="n"/>
      <c r="X329" s="87" t="n"/>
    </row>
    <row r="330">
      <c r="A330" s="4" t="n"/>
      <c r="B330" s="65" t="n"/>
      <c r="C330" s="65" t="n"/>
      <c r="D330" s="65" t="n"/>
      <c r="E330" s="2" t="n"/>
      <c r="F330" s="2" t="n"/>
      <c r="L330" s="1" t="n"/>
      <c r="M330" s="2" t="n"/>
      <c r="N330" s="2" t="n"/>
      <c r="O330" s="2" t="n"/>
      <c r="P330" s="2" t="n"/>
      <c r="Q330" s="2" t="n"/>
      <c r="R330" s="2" t="n"/>
      <c r="T330" s="91" t="n"/>
      <c r="U330" s="86" t="n"/>
      <c r="V330" s="86" t="n"/>
      <c r="W330" s="2" t="n"/>
      <c r="X330" s="87" t="n"/>
    </row>
    <row r="331">
      <c r="A331" s="4" t="n"/>
      <c r="B331" s="65" t="n"/>
      <c r="C331" s="65" t="n"/>
      <c r="D331" s="65" t="n"/>
      <c r="E331" s="2" t="n"/>
      <c r="F331" s="2" t="n"/>
      <c r="L331" s="1" t="n"/>
      <c r="M331" s="2" t="n"/>
      <c r="N331" s="2" t="n"/>
      <c r="O331" s="2" t="n"/>
      <c r="P331" s="2" t="n"/>
      <c r="Q331" s="2" t="n"/>
      <c r="R331" s="2" t="n"/>
      <c r="T331" s="91" t="n"/>
      <c r="U331" s="86" t="n"/>
      <c r="V331" s="86" t="n"/>
      <c r="W331" s="2" t="n"/>
      <c r="X331" s="87" t="n"/>
    </row>
    <row r="332">
      <c r="A332" s="4" t="n"/>
      <c r="B332" s="65" t="n"/>
      <c r="C332" s="65" t="n"/>
      <c r="D332" s="65" t="n"/>
      <c r="E332" s="2" t="n"/>
      <c r="F332" s="2" t="n"/>
      <c r="L332" s="1" t="n"/>
      <c r="M332" s="2" t="n"/>
      <c r="N332" s="2" t="n"/>
      <c r="O332" s="2" t="n"/>
      <c r="P332" s="2" t="n"/>
      <c r="Q332" s="2" t="n"/>
      <c r="R332" s="2" t="n"/>
      <c r="T332" s="91" t="n"/>
      <c r="U332" s="86" t="n"/>
      <c r="V332" s="86" t="n"/>
      <c r="W332" s="2" t="n"/>
      <c r="X332" s="87" t="n"/>
    </row>
    <row r="333">
      <c r="A333" s="4" t="n"/>
      <c r="B333" s="65" t="n"/>
      <c r="C333" s="65" t="n"/>
      <c r="D333" s="65" t="n"/>
      <c r="E333" s="2" t="n"/>
      <c r="F333" s="2" t="n"/>
      <c r="L333" s="1" t="n"/>
      <c r="M333" s="2" t="n"/>
      <c r="N333" s="2" t="n"/>
      <c r="O333" s="2" t="n"/>
      <c r="P333" s="2" t="n"/>
      <c r="Q333" s="2" t="n"/>
      <c r="R333" s="2" t="n"/>
      <c r="T333" s="91" t="n"/>
      <c r="U333" s="86" t="n"/>
      <c r="V333" s="86" t="n"/>
      <c r="W333" s="2" t="n"/>
      <c r="X333" s="87" t="n"/>
    </row>
    <row r="334">
      <c r="A334" s="4" t="n"/>
      <c r="B334" s="65" t="n"/>
      <c r="C334" s="65" t="n"/>
      <c r="D334" s="65" t="n"/>
      <c r="E334" s="2" t="n"/>
      <c r="F334" s="2" t="n"/>
      <c r="L334" s="1" t="n"/>
      <c r="M334" s="2" t="n"/>
      <c r="N334" s="2" t="n"/>
      <c r="O334" s="2" t="n"/>
      <c r="P334" s="2" t="n"/>
      <c r="Q334" s="2" t="n"/>
      <c r="R334" s="2" t="n"/>
      <c r="T334" s="91" t="n"/>
      <c r="U334" s="86" t="n"/>
      <c r="V334" s="86" t="n"/>
      <c r="W334" s="2" t="n"/>
      <c r="X334" s="87" t="n"/>
    </row>
    <row r="335">
      <c r="A335" s="4" t="n"/>
      <c r="B335" s="65" t="n"/>
      <c r="C335" s="65" t="n"/>
      <c r="D335" s="65" t="n"/>
      <c r="E335" s="2" t="n"/>
      <c r="F335" s="2" t="n"/>
      <c r="L335" s="1" t="n"/>
      <c r="M335" s="2" t="n"/>
      <c r="N335" s="2" t="n"/>
      <c r="O335" s="2" t="n"/>
      <c r="P335" s="2" t="n"/>
      <c r="Q335" s="2" t="n"/>
      <c r="R335" s="2" t="n"/>
      <c r="T335" s="91" t="n"/>
      <c r="U335" s="86" t="n"/>
      <c r="V335" s="86" t="n"/>
      <c r="W335" s="2" t="n"/>
      <c r="X335" s="87" t="n"/>
    </row>
    <row r="336">
      <c r="A336" s="4" t="n"/>
      <c r="B336" s="65" t="n"/>
      <c r="C336" s="65" t="n"/>
      <c r="D336" s="65" t="n"/>
      <c r="E336" s="2" t="n"/>
      <c r="F336" s="2" t="n"/>
      <c r="L336" s="1" t="n"/>
      <c r="M336" s="2" t="n"/>
      <c r="N336" s="2" t="n"/>
      <c r="O336" s="2" t="n"/>
      <c r="P336" s="2" t="n"/>
      <c r="Q336" s="2" t="n"/>
      <c r="R336" s="2" t="n"/>
      <c r="T336" s="91" t="n"/>
      <c r="U336" s="86" t="n"/>
      <c r="V336" s="86" t="n"/>
      <c r="W336" s="2" t="n"/>
      <c r="X336" s="87" t="n"/>
    </row>
    <row r="337">
      <c r="A337" s="4" t="n"/>
      <c r="B337" s="65" t="n"/>
      <c r="C337" s="65" t="n"/>
      <c r="D337" s="65" t="n"/>
      <c r="E337" s="2" t="n"/>
      <c r="F337" s="2" t="n"/>
      <c r="L337" s="1" t="n"/>
      <c r="M337" s="2" t="n"/>
      <c r="N337" s="2" t="n"/>
      <c r="O337" s="2" t="n"/>
      <c r="P337" s="2" t="n"/>
      <c r="Q337" s="2" t="n"/>
      <c r="R337" s="2" t="n"/>
      <c r="T337" s="91" t="n"/>
      <c r="U337" s="86" t="n"/>
      <c r="V337" s="86" t="n"/>
      <c r="W337" s="2" t="n"/>
      <c r="X337" s="87" t="n"/>
    </row>
    <row r="338">
      <c r="A338" s="4" t="n"/>
      <c r="B338" s="65" t="n"/>
      <c r="C338" s="65" t="n"/>
      <c r="D338" s="65" t="n"/>
      <c r="E338" s="2" t="n"/>
      <c r="F338" s="2" t="n"/>
      <c r="L338" s="1" t="n"/>
      <c r="M338" s="2" t="n"/>
      <c r="N338" s="2" t="n"/>
      <c r="O338" s="2" t="n"/>
      <c r="P338" s="2" t="n"/>
      <c r="Q338" s="2" t="n"/>
      <c r="R338" s="2" t="n"/>
      <c r="T338" s="91" t="n"/>
      <c r="U338" s="86" t="n"/>
      <c r="V338" s="86" t="n"/>
      <c r="W338" s="2" t="n"/>
      <c r="X338" s="87" t="n"/>
    </row>
    <row r="339">
      <c r="A339" s="4" t="n"/>
      <c r="B339" s="65" t="n"/>
      <c r="C339" s="65" t="n"/>
      <c r="D339" s="65" t="n"/>
      <c r="E339" s="2" t="n"/>
      <c r="F339" s="2" t="n"/>
      <c r="L339" s="1" t="n"/>
      <c r="M339" s="2" t="n"/>
      <c r="N339" s="2" t="n"/>
      <c r="O339" s="2" t="n"/>
      <c r="P339" s="2" t="n"/>
      <c r="Q339" s="2" t="n"/>
      <c r="R339" s="2" t="n"/>
      <c r="T339" s="91" t="n"/>
      <c r="U339" s="86" t="n"/>
      <c r="V339" s="86" t="n"/>
      <c r="W339" s="2" t="n"/>
      <c r="X339" s="87" t="n"/>
    </row>
    <row r="340">
      <c r="A340" s="4" t="n"/>
      <c r="B340" s="65" t="n"/>
      <c r="C340" s="65" t="n"/>
      <c r="D340" s="65" t="n"/>
      <c r="E340" s="2" t="n"/>
      <c r="F340" s="2" t="n"/>
      <c r="L340" s="1" t="n"/>
      <c r="M340" s="2" t="n"/>
      <c r="N340" s="2" t="n"/>
      <c r="O340" s="2" t="n"/>
      <c r="P340" s="2" t="n"/>
      <c r="Q340" s="2" t="n"/>
      <c r="R340" s="2" t="n"/>
      <c r="T340" s="91" t="n"/>
      <c r="U340" s="86" t="n"/>
      <c r="V340" s="86" t="n"/>
      <c r="W340" s="2" t="n"/>
      <c r="X340" s="87" t="n"/>
    </row>
    <row r="341">
      <c r="A341" s="4" t="n"/>
      <c r="B341" s="65" t="n"/>
      <c r="C341" s="65" t="n"/>
      <c r="D341" s="65" t="n"/>
      <c r="E341" s="2" t="n"/>
      <c r="F341" s="2" t="n"/>
      <c r="L341" s="1" t="n"/>
      <c r="M341" s="2" t="n"/>
      <c r="N341" s="2" t="n"/>
      <c r="O341" s="2" t="n"/>
      <c r="P341" s="2" t="n"/>
      <c r="Q341" s="2" t="n"/>
      <c r="R341" s="2" t="n"/>
      <c r="T341" s="91" t="n"/>
      <c r="U341" s="86" t="n"/>
      <c r="V341" s="86" t="n"/>
      <c r="W341" s="2" t="n"/>
      <c r="X341" s="87" t="n"/>
    </row>
    <row r="342">
      <c r="A342" s="4" t="n"/>
      <c r="B342" s="65" t="n"/>
      <c r="C342" s="65" t="n"/>
      <c r="D342" s="65" t="n"/>
      <c r="E342" s="2" t="n"/>
      <c r="F342" s="2" t="n"/>
      <c r="L342" s="1" t="n"/>
      <c r="M342" s="2" t="n"/>
      <c r="N342" s="2" t="n"/>
      <c r="O342" s="2" t="n"/>
      <c r="P342" s="2" t="n"/>
      <c r="Q342" s="2" t="n"/>
      <c r="R342" s="2" t="n"/>
      <c r="T342" s="91" t="n"/>
      <c r="U342" s="86" t="n"/>
      <c r="V342" s="86" t="n"/>
      <c r="W342" s="2" t="n"/>
      <c r="X342" s="87" t="n"/>
    </row>
    <row r="343">
      <c r="A343" s="4" t="n"/>
      <c r="B343" s="65" t="n"/>
      <c r="C343" s="65" t="n"/>
      <c r="D343" s="65" t="n"/>
      <c r="E343" s="2" t="n"/>
      <c r="F343" s="2" t="n"/>
      <c r="L343" s="1" t="n"/>
      <c r="M343" s="2" t="n"/>
      <c r="N343" s="2" t="n"/>
      <c r="O343" s="2" t="n"/>
      <c r="P343" s="2" t="n"/>
      <c r="Q343" s="2" t="n"/>
      <c r="R343" s="2" t="n"/>
      <c r="T343" s="91" t="n"/>
      <c r="U343" s="86" t="n"/>
      <c r="V343" s="86" t="n"/>
      <c r="W343" s="2" t="n"/>
      <c r="X343" s="87" t="n"/>
    </row>
    <row r="344">
      <c r="A344" s="4" t="n"/>
      <c r="B344" s="65" t="n"/>
      <c r="C344" s="65" t="n"/>
      <c r="D344" s="65" t="n"/>
      <c r="E344" s="2" t="n"/>
      <c r="F344" s="2" t="n"/>
      <c r="L344" s="1" t="n"/>
      <c r="M344" s="2" t="n"/>
      <c r="N344" s="2" t="n"/>
      <c r="O344" s="2" t="n"/>
      <c r="P344" s="2" t="n"/>
      <c r="Q344" s="2" t="n"/>
      <c r="R344" s="2" t="n"/>
      <c r="T344" s="91" t="n"/>
      <c r="U344" s="86" t="n"/>
      <c r="V344" s="86" t="n"/>
      <c r="W344" s="2" t="n"/>
      <c r="X344" s="87" t="n"/>
    </row>
    <row r="345">
      <c r="A345" s="4" t="n"/>
      <c r="B345" s="65" t="n"/>
      <c r="C345" s="65" t="n"/>
      <c r="D345" s="65" t="n"/>
      <c r="E345" s="2" t="n"/>
      <c r="F345" s="2" t="n"/>
      <c r="L345" s="1" t="n"/>
      <c r="M345" s="2" t="n"/>
      <c r="N345" s="2" t="n"/>
      <c r="O345" s="2" t="n"/>
      <c r="P345" s="2" t="n"/>
      <c r="Q345" s="2" t="n"/>
      <c r="R345" s="2" t="n"/>
      <c r="T345" s="91" t="n"/>
      <c r="U345" s="86" t="n"/>
      <c r="V345" s="86" t="n"/>
      <c r="W345" s="2" t="n"/>
      <c r="X345" s="87" t="n"/>
    </row>
    <row r="346">
      <c r="A346" s="4" t="n"/>
      <c r="B346" s="65" t="n"/>
      <c r="C346" s="65" t="n"/>
      <c r="D346" s="65" t="n"/>
      <c r="E346" s="2" t="n"/>
      <c r="F346" s="2" t="n"/>
      <c r="L346" s="1" t="n"/>
      <c r="M346" s="2" t="n"/>
      <c r="N346" s="2" t="n"/>
      <c r="O346" s="2" t="n"/>
      <c r="P346" s="2" t="n"/>
      <c r="Q346" s="2" t="n"/>
      <c r="R346" s="2" t="n"/>
      <c r="T346" s="91" t="n"/>
      <c r="U346" s="86" t="n"/>
      <c r="V346" s="86" t="n"/>
      <c r="W346" s="2" t="n"/>
      <c r="X346" s="87" t="n"/>
    </row>
    <row r="347">
      <c r="A347" s="4" t="n"/>
      <c r="B347" s="65" t="n"/>
      <c r="C347" s="65" t="n"/>
      <c r="D347" s="65" t="n"/>
      <c r="E347" s="2" t="n"/>
      <c r="F347" s="2" t="n"/>
      <c r="L347" s="1" t="n"/>
      <c r="M347" s="2" t="n"/>
      <c r="N347" s="2" t="n"/>
      <c r="O347" s="2" t="n"/>
      <c r="P347" s="2" t="n"/>
      <c r="Q347" s="2" t="n"/>
      <c r="R347" s="2" t="n"/>
      <c r="T347" s="91" t="n"/>
      <c r="U347" s="86" t="n"/>
      <c r="V347" s="86" t="n"/>
      <c r="W347" s="2" t="n"/>
      <c r="X347" s="87" t="n"/>
    </row>
    <row r="348">
      <c r="A348" s="4" t="n"/>
      <c r="B348" s="65" t="n"/>
      <c r="C348" s="65" t="n"/>
      <c r="D348" s="65" t="n"/>
      <c r="E348" s="2" t="n"/>
      <c r="F348" s="2" t="n"/>
      <c r="L348" s="1" t="n"/>
      <c r="M348" s="2" t="n"/>
      <c r="N348" s="2" t="n"/>
      <c r="O348" s="2" t="n"/>
      <c r="P348" s="2" t="n"/>
      <c r="Q348" s="2" t="n"/>
      <c r="R348" s="2" t="n"/>
      <c r="T348" s="91" t="n"/>
      <c r="U348" s="86" t="n"/>
      <c r="V348" s="86" t="n"/>
      <c r="W348" s="2" t="n"/>
      <c r="X348" s="87" t="n"/>
    </row>
    <row r="349">
      <c r="A349" s="4" t="n"/>
      <c r="B349" s="65" t="n"/>
      <c r="C349" s="65" t="n"/>
      <c r="D349" s="65" t="n"/>
      <c r="E349" s="2" t="n"/>
      <c r="F349" s="2" t="n"/>
      <c r="L349" s="1" t="n"/>
      <c r="M349" s="2" t="n"/>
      <c r="N349" s="2" t="n"/>
      <c r="O349" s="2" t="n"/>
      <c r="P349" s="2" t="n"/>
      <c r="Q349" s="2" t="n"/>
      <c r="R349" s="2" t="n"/>
      <c r="T349" s="91" t="n"/>
      <c r="U349" s="86" t="n"/>
      <c r="V349" s="86" t="n"/>
      <c r="W349" s="2" t="n"/>
      <c r="X349" s="87" t="n"/>
    </row>
    <row r="350">
      <c r="A350" s="4" t="n"/>
      <c r="B350" s="65" t="n"/>
      <c r="C350" s="65" t="n"/>
      <c r="D350" s="65" t="n"/>
      <c r="E350" s="2" t="n"/>
      <c r="F350" s="2" t="n"/>
      <c r="L350" s="1" t="n"/>
      <c r="M350" s="2" t="n"/>
      <c r="N350" s="2" t="n"/>
      <c r="O350" s="2" t="n"/>
      <c r="P350" s="2" t="n"/>
      <c r="Q350" s="2" t="n"/>
      <c r="R350" s="2" t="n"/>
      <c r="T350" s="91" t="n"/>
      <c r="U350" s="86" t="n"/>
      <c r="V350" s="86" t="n"/>
      <c r="W350" s="2" t="n"/>
      <c r="X350" s="87" t="n"/>
    </row>
    <row r="351">
      <c r="A351" s="4" t="n"/>
      <c r="B351" s="65" t="n"/>
      <c r="C351" s="65" t="n"/>
      <c r="D351" s="65" t="n"/>
      <c r="E351" s="2" t="n"/>
      <c r="F351" s="2" t="n"/>
      <c r="L351" s="1" t="n"/>
      <c r="M351" s="2" t="n"/>
      <c r="N351" s="2" t="n"/>
      <c r="O351" s="2" t="n"/>
      <c r="P351" s="2" t="n"/>
      <c r="Q351" s="2" t="n"/>
      <c r="R351" s="2" t="n"/>
      <c r="T351" s="91" t="n"/>
      <c r="U351" s="86" t="n"/>
      <c r="V351" s="86" t="n"/>
      <c r="W351" s="2" t="n"/>
      <c r="X351" s="87" t="n"/>
    </row>
    <row r="352">
      <c r="A352" s="4" t="n"/>
      <c r="B352" s="65" t="n"/>
      <c r="C352" s="65" t="n"/>
      <c r="D352" s="65" t="n"/>
      <c r="E352" s="2" t="n"/>
      <c r="F352" s="2" t="n"/>
      <c r="L352" s="1" t="n"/>
      <c r="M352" s="2" t="n"/>
      <c r="N352" s="2" t="n"/>
      <c r="O352" s="2" t="n"/>
      <c r="P352" s="2" t="n"/>
      <c r="Q352" s="2" t="n"/>
      <c r="R352" s="2" t="n"/>
      <c r="T352" s="91" t="n"/>
      <c r="U352" s="86" t="n"/>
      <c r="V352" s="86" t="n"/>
      <c r="W352" s="2" t="n"/>
      <c r="X352" s="87" t="n"/>
    </row>
    <row r="353">
      <c r="A353" s="4" t="n"/>
      <c r="B353" s="65" t="n"/>
      <c r="C353" s="65" t="n"/>
      <c r="D353" s="65" t="n"/>
      <c r="E353" s="2" t="n"/>
      <c r="F353" s="2" t="n"/>
      <c r="L353" s="1" t="n"/>
      <c r="M353" s="2" t="n"/>
      <c r="N353" s="2" t="n"/>
      <c r="O353" s="2" t="n"/>
      <c r="P353" s="2" t="n"/>
      <c r="Q353" s="2" t="n"/>
      <c r="R353" s="2" t="n"/>
      <c r="T353" s="91" t="n"/>
      <c r="U353" s="86" t="n"/>
      <c r="V353" s="86" t="n"/>
      <c r="W353" s="2" t="n"/>
      <c r="X353" s="87" t="n"/>
    </row>
    <row r="354">
      <c r="A354" s="4" t="n"/>
      <c r="B354" s="65" t="n"/>
      <c r="C354" s="65" t="n"/>
      <c r="D354" s="65" t="n"/>
      <c r="E354" s="2" t="n"/>
      <c r="F354" s="2" t="n"/>
      <c r="L354" s="1" t="n"/>
      <c r="M354" s="2" t="n"/>
      <c r="N354" s="2" t="n"/>
      <c r="O354" s="2" t="n"/>
      <c r="P354" s="2" t="n"/>
      <c r="Q354" s="2" t="n"/>
      <c r="R354" s="2" t="n"/>
      <c r="T354" s="91" t="n"/>
      <c r="U354" s="86" t="n"/>
      <c r="V354" s="86" t="n"/>
      <c r="W354" s="2" t="n"/>
      <c r="X354" s="87" t="n"/>
    </row>
    <row r="355">
      <c r="A355" s="4" t="n"/>
      <c r="B355" s="65" t="n"/>
      <c r="C355" s="65" t="n"/>
      <c r="D355" s="65" t="n"/>
      <c r="E355" s="2" t="n"/>
      <c r="F355" s="2" t="n"/>
      <c r="L355" s="1" t="n"/>
      <c r="M355" s="2" t="n"/>
      <c r="N355" s="2" t="n"/>
      <c r="O355" s="2" t="n"/>
      <c r="P355" s="2" t="n"/>
      <c r="Q355" s="2" t="n"/>
      <c r="R355" s="2" t="n"/>
      <c r="T355" s="91" t="n"/>
      <c r="U355" s="86" t="n"/>
      <c r="V355" s="86" t="n"/>
      <c r="W355" s="2" t="n"/>
      <c r="X355" s="87" t="n"/>
    </row>
    <row r="356">
      <c r="A356" s="4" t="n"/>
      <c r="B356" s="65" t="n"/>
      <c r="C356" s="65" t="n"/>
      <c r="D356" s="65" t="n"/>
      <c r="E356" s="2" t="n"/>
      <c r="F356" s="2" t="n"/>
      <c r="L356" s="1" t="n"/>
      <c r="M356" s="2" t="n"/>
      <c r="N356" s="2" t="n"/>
      <c r="O356" s="2" t="n"/>
      <c r="P356" s="2" t="n"/>
      <c r="Q356" s="2" t="n"/>
      <c r="R356" s="2" t="n"/>
      <c r="T356" s="91" t="n"/>
      <c r="U356" s="86" t="n"/>
      <c r="V356" s="86" t="n"/>
      <c r="W356" s="2" t="n"/>
      <c r="X356" s="87" t="n"/>
    </row>
    <row r="357">
      <c r="A357" s="4" t="n"/>
      <c r="B357" s="65" t="n"/>
      <c r="C357" s="65" t="n"/>
      <c r="D357" s="65" t="n"/>
      <c r="E357" s="2" t="n"/>
      <c r="F357" s="2" t="n"/>
      <c r="L357" s="1" t="n"/>
      <c r="M357" s="2" t="n"/>
      <c r="N357" s="2" t="n"/>
      <c r="O357" s="2" t="n"/>
      <c r="P357" s="2" t="n"/>
      <c r="Q357" s="2" t="n"/>
      <c r="R357" s="2" t="n"/>
      <c r="T357" s="91" t="n"/>
      <c r="U357" s="86" t="n"/>
      <c r="V357" s="86" t="n"/>
      <c r="W357" s="2" t="n"/>
      <c r="X357" s="87" t="n"/>
    </row>
    <row r="358">
      <c r="A358" s="4" t="n"/>
      <c r="B358" s="65" t="n"/>
      <c r="C358" s="65" t="n"/>
      <c r="D358" s="65" t="n"/>
      <c r="E358" s="2" t="n"/>
      <c r="F358" s="2" t="n"/>
      <c r="L358" s="1" t="n"/>
      <c r="M358" s="2" t="n"/>
      <c r="N358" s="2" t="n"/>
      <c r="O358" s="2" t="n"/>
      <c r="P358" s="2" t="n"/>
      <c r="Q358" s="2" t="n"/>
      <c r="R358" s="2" t="n"/>
      <c r="T358" s="91" t="n"/>
      <c r="U358" s="86" t="n"/>
      <c r="V358" s="86" t="n"/>
      <c r="W358" s="2" t="n"/>
      <c r="X358" s="87" t="n"/>
    </row>
    <row r="359">
      <c r="A359" s="4" t="n"/>
      <c r="B359" s="65" t="n"/>
      <c r="C359" s="65" t="n"/>
      <c r="D359" s="65" t="n"/>
      <c r="E359" s="2" t="n"/>
      <c r="F359" s="2" t="n"/>
      <c r="L359" s="1" t="n"/>
      <c r="M359" s="2" t="n"/>
      <c r="N359" s="2" t="n"/>
      <c r="O359" s="2" t="n"/>
      <c r="P359" s="2" t="n"/>
      <c r="Q359" s="2" t="n"/>
      <c r="R359" s="2" t="n"/>
      <c r="T359" s="91" t="n"/>
      <c r="U359" s="86" t="n"/>
      <c r="V359" s="86" t="n"/>
      <c r="W359" s="2" t="n"/>
      <c r="X359" s="87" t="n"/>
    </row>
    <row r="360">
      <c r="A360" s="4" t="n"/>
      <c r="B360" s="65" t="n"/>
      <c r="C360" s="65" t="n"/>
      <c r="D360" s="65" t="n"/>
      <c r="E360" s="2" t="n"/>
      <c r="F360" s="2" t="n"/>
      <c r="L360" s="1" t="n"/>
      <c r="M360" s="2" t="n"/>
      <c r="N360" s="2" t="n"/>
      <c r="O360" s="2" t="n"/>
      <c r="P360" s="2" t="n"/>
      <c r="Q360" s="2" t="n"/>
      <c r="R360" s="2" t="n"/>
      <c r="T360" s="91" t="n"/>
      <c r="U360" s="86" t="n"/>
      <c r="V360" s="86" t="n"/>
      <c r="W360" s="2" t="n"/>
      <c r="X360" s="87" t="n"/>
    </row>
    <row r="361">
      <c r="A361" s="4" t="n"/>
      <c r="B361" s="65" t="n"/>
      <c r="C361" s="65" t="n"/>
      <c r="D361" s="65" t="n"/>
      <c r="E361" s="2" t="n"/>
      <c r="F361" s="2" t="n"/>
      <c r="L361" s="1" t="n"/>
      <c r="M361" s="2" t="n"/>
      <c r="N361" s="2" t="n"/>
      <c r="O361" s="2" t="n"/>
      <c r="P361" s="2" t="n"/>
      <c r="Q361" s="2" t="n"/>
      <c r="R361" s="2" t="n"/>
      <c r="T361" s="91" t="n"/>
      <c r="U361" s="86" t="n"/>
      <c r="V361" s="86" t="n"/>
      <c r="W361" s="2" t="n"/>
      <c r="X361" s="87" t="n"/>
    </row>
    <row r="362">
      <c r="A362" s="4" t="n"/>
      <c r="B362" s="65" t="n"/>
      <c r="C362" s="65" t="n"/>
      <c r="D362" s="65" t="n"/>
      <c r="E362" s="2" t="n"/>
      <c r="F362" s="2" t="n"/>
      <c r="L362" s="1" t="n"/>
      <c r="M362" s="2" t="n"/>
      <c r="N362" s="2" t="n"/>
      <c r="O362" s="2" t="n"/>
      <c r="P362" s="2" t="n"/>
      <c r="Q362" s="2" t="n"/>
      <c r="R362" s="2" t="n"/>
      <c r="T362" s="91" t="n"/>
      <c r="U362" s="86" t="n"/>
      <c r="V362" s="86" t="n"/>
      <c r="W362" s="2" t="n"/>
      <c r="X362" s="87" t="n"/>
    </row>
    <row r="363">
      <c r="A363" s="4" t="n"/>
      <c r="B363" s="65" t="n"/>
      <c r="C363" s="65" t="n"/>
      <c r="D363" s="65" t="n"/>
      <c r="E363" s="2" t="n"/>
      <c r="F363" s="2" t="n"/>
      <c r="L363" s="1" t="n"/>
      <c r="M363" s="2" t="n"/>
      <c r="N363" s="2" t="n"/>
      <c r="O363" s="2" t="n"/>
      <c r="P363" s="2" t="n"/>
      <c r="Q363" s="2" t="n"/>
      <c r="R363" s="2" t="n"/>
      <c r="T363" s="91" t="n"/>
      <c r="U363" s="86" t="n"/>
      <c r="V363" s="86" t="n"/>
      <c r="W363" s="2" t="n"/>
      <c r="X363" s="87" t="n"/>
    </row>
    <row r="364">
      <c r="A364" s="4" t="n"/>
      <c r="B364" s="65" t="n"/>
      <c r="C364" s="65" t="n"/>
      <c r="D364" s="65" t="n"/>
      <c r="E364" s="2" t="n"/>
      <c r="F364" s="2" t="n"/>
      <c r="L364" s="1" t="n"/>
      <c r="M364" s="2" t="n"/>
      <c r="N364" s="2" t="n"/>
      <c r="O364" s="2" t="n"/>
      <c r="P364" s="2" t="n"/>
      <c r="Q364" s="2" t="n"/>
      <c r="R364" s="2" t="n"/>
      <c r="T364" s="91" t="n"/>
      <c r="U364" s="86" t="n"/>
      <c r="V364" s="86" t="n"/>
      <c r="W364" s="2" t="n"/>
      <c r="X364" s="87" t="n"/>
    </row>
    <row r="365">
      <c r="A365" s="4" t="n"/>
      <c r="B365" s="65" t="n"/>
      <c r="C365" s="65" t="n"/>
      <c r="D365" s="65" t="n"/>
      <c r="E365" s="2" t="n"/>
      <c r="F365" s="2" t="n"/>
      <c r="L365" s="1" t="n"/>
      <c r="M365" s="2" t="n"/>
      <c r="N365" s="2" t="n"/>
      <c r="O365" s="2" t="n"/>
      <c r="P365" s="2" t="n"/>
      <c r="Q365" s="2" t="n"/>
      <c r="R365" s="2" t="n"/>
      <c r="T365" s="91" t="n"/>
      <c r="U365" s="86" t="n"/>
      <c r="V365" s="86" t="n"/>
      <c r="W365" s="2" t="n"/>
      <c r="X365" s="87" t="n"/>
    </row>
    <row r="366">
      <c r="A366" s="4" t="n"/>
      <c r="B366" s="65" t="n"/>
      <c r="C366" s="65" t="n"/>
      <c r="D366" s="65" t="n"/>
      <c r="E366" s="2" t="n"/>
      <c r="F366" s="2" t="n"/>
      <c r="L366" s="1" t="n"/>
      <c r="M366" s="2" t="n"/>
      <c r="N366" s="2" t="n"/>
      <c r="O366" s="2" t="n"/>
      <c r="P366" s="2" t="n"/>
      <c r="Q366" s="2" t="n"/>
      <c r="R366" s="2" t="n"/>
      <c r="T366" s="91" t="n"/>
      <c r="U366" s="86" t="n"/>
      <c r="V366" s="86" t="n"/>
      <c r="W366" s="2" t="n"/>
      <c r="X366" s="87" t="n"/>
    </row>
    <row r="367">
      <c r="A367" s="4" t="n"/>
      <c r="B367" s="65" t="n"/>
      <c r="C367" s="65" t="n"/>
      <c r="D367" s="65" t="n"/>
      <c r="E367" s="2" t="n"/>
      <c r="F367" s="2" t="n"/>
      <c r="L367" s="1" t="n"/>
      <c r="M367" s="2" t="n"/>
      <c r="N367" s="2" t="n"/>
      <c r="O367" s="2" t="n"/>
      <c r="P367" s="2" t="n"/>
      <c r="Q367" s="2" t="n"/>
      <c r="R367" s="2" t="n"/>
      <c r="T367" s="91" t="n"/>
      <c r="U367" s="86" t="n"/>
      <c r="V367" s="86" t="n"/>
      <c r="W367" s="2" t="n"/>
      <c r="X367" s="87" t="n"/>
    </row>
    <row r="368">
      <c r="A368" s="4" t="n"/>
      <c r="B368" s="65" t="n"/>
      <c r="C368" s="65" t="n"/>
      <c r="D368" s="65" t="n"/>
      <c r="E368" s="2" t="n"/>
      <c r="F368" s="2" t="n"/>
      <c r="L368" s="1" t="n"/>
      <c r="M368" s="2" t="n"/>
      <c r="N368" s="2" t="n"/>
      <c r="O368" s="2" t="n"/>
      <c r="P368" s="2" t="n"/>
      <c r="Q368" s="2" t="n"/>
      <c r="R368" s="2" t="n"/>
      <c r="T368" s="91" t="n"/>
      <c r="U368" s="86" t="n"/>
      <c r="V368" s="86" t="n"/>
      <c r="W368" s="2" t="n"/>
      <c r="X368" s="87" t="n"/>
    </row>
    <row r="369">
      <c r="A369" s="4" t="n"/>
      <c r="B369" s="65" t="n"/>
      <c r="C369" s="65" t="n"/>
      <c r="D369" s="65" t="n"/>
      <c r="E369" s="2" t="n"/>
      <c r="F369" s="2" t="n"/>
      <c r="L369" s="1" t="n"/>
      <c r="M369" s="2" t="n"/>
      <c r="N369" s="2" t="n"/>
      <c r="O369" s="2" t="n"/>
      <c r="P369" s="2" t="n"/>
      <c r="Q369" s="2" t="n"/>
      <c r="R369" s="2" t="n"/>
      <c r="T369" s="91" t="n"/>
      <c r="U369" s="86" t="n"/>
      <c r="V369" s="86" t="n"/>
      <c r="W369" s="2" t="n"/>
      <c r="X369" s="87" t="n"/>
    </row>
    <row r="370">
      <c r="A370" s="5" t="n"/>
      <c r="B370" s="81" t="n"/>
      <c r="C370" s="81" t="n"/>
      <c r="D370" s="81" t="n"/>
      <c r="E370" s="2" t="n"/>
      <c r="F370" s="2" t="n"/>
      <c r="L370" s="1" t="n"/>
      <c r="M370" s="2" t="n"/>
      <c r="N370" s="2" t="n"/>
      <c r="O370" s="2" t="n"/>
      <c r="P370" s="2" t="n"/>
      <c r="Q370" s="2" t="n"/>
      <c r="R370" s="2" t="n"/>
      <c r="T370" s="91" t="n"/>
      <c r="U370" s="86" t="n"/>
      <c r="V370" s="86" t="n"/>
      <c r="W370" s="2" t="n"/>
      <c r="X370" s="87" t="n"/>
    </row>
    <row r="371">
      <c r="A371" s="4" t="n"/>
      <c r="B371" s="65" t="n"/>
      <c r="C371" s="65" t="n"/>
      <c r="D371" s="65" t="n"/>
      <c r="E371" s="2" t="n"/>
      <c r="F371" s="2" t="n"/>
      <c r="L371" s="1" t="n"/>
      <c r="M371" s="2" t="n"/>
      <c r="N371" s="2" t="n"/>
      <c r="O371" s="2" t="n"/>
      <c r="P371" s="2" t="n"/>
      <c r="Q371" s="2" t="n"/>
      <c r="R371" s="2" t="n"/>
      <c r="T371" s="91" t="n"/>
      <c r="U371" s="86" t="n"/>
      <c r="V371" s="86" t="n"/>
      <c r="W371" s="2" t="n"/>
      <c r="X371" s="87" t="n"/>
    </row>
    <row r="372">
      <c r="A372" s="4" t="n"/>
      <c r="B372" s="65" t="n"/>
      <c r="C372" s="65" t="n"/>
      <c r="D372" s="65" t="n"/>
      <c r="E372" s="2" t="n"/>
      <c r="F372" s="2" t="n"/>
      <c r="L372" s="1" t="n"/>
      <c r="M372" s="2" t="n"/>
      <c r="N372" s="2" t="n"/>
      <c r="O372" s="2" t="n"/>
      <c r="P372" s="2" t="n"/>
      <c r="Q372" s="2" t="n"/>
      <c r="R372" s="2" t="n"/>
      <c r="T372" s="91" t="n"/>
      <c r="U372" s="86" t="n"/>
      <c r="V372" s="86" t="n"/>
      <c r="W372" s="2" t="n"/>
      <c r="X372" s="87" t="n"/>
    </row>
    <row r="373">
      <c r="A373" s="4" t="n"/>
      <c r="B373" s="65" t="n"/>
      <c r="C373" s="65" t="n"/>
      <c r="D373" s="65" t="n"/>
      <c r="E373" s="2" t="n"/>
      <c r="F373" s="2" t="n"/>
      <c r="L373" s="1" t="n"/>
      <c r="M373" s="2" t="n"/>
      <c r="N373" s="2" t="n"/>
      <c r="O373" s="2" t="n"/>
      <c r="P373" s="2" t="n"/>
      <c r="Q373" s="2" t="n"/>
      <c r="R373" s="2" t="n"/>
      <c r="T373" s="91" t="n"/>
      <c r="U373" s="86" t="n"/>
      <c r="V373" s="86" t="n"/>
      <c r="W373" s="2" t="n"/>
      <c r="X373" s="87" t="n"/>
    </row>
    <row r="374">
      <c r="A374" s="4" t="n"/>
      <c r="B374" s="65" t="n"/>
      <c r="C374" s="65" t="n"/>
      <c r="D374" s="65" t="n"/>
      <c r="E374" s="2" t="n"/>
      <c r="F374" s="2" t="n"/>
      <c r="L374" s="1" t="n"/>
      <c r="M374" s="2" t="n"/>
      <c r="N374" s="2" t="n"/>
      <c r="O374" s="2" t="n"/>
      <c r="P374" s="2" t="n"/>
      <c r="Q374" s="2" t="n"/>
      <c r="R374" s="2" t="n"/>
      <c r="T374" s="91" t="n"/>
      <c r="U374" s="86" t="n"/>
      <c r="V374" s="86" t="n"/>
      <c r="W374" s="2" t="n"/>
      <c r="X374" s="87" t="n"/>
    </row>
    <row r="375">
      <c r="A375" s="4" t="n"/>
      <c r="B375" s="65" t="n"/>
      <c r="C375" s="65" t="n"/>
      <c r="D375" s="65" t="n"/>
      <c r="E375" s="2" t="n"/>
      <c r="F375" s="2" t="n"/>
      <c r="L375" s="1" t="n"/>
      <c r="M375" s="2" t="n"/>
      <c r="N375" s="2" t="n"/>
      <c r="O375" s="2" t="n"/>
      <c r="P375" s="2" t="n"/>
      <c r="Q375" s="2" t="n"/>
      <c r="R375" s="2" t="n"/>
      <c r="T375" s="91" t="n"/>
      <c r="U375" s="86" t="n"/>
      <c r="V375" s="86" t="n"/>
      <c r="W375" s="2" t="n"/>
      <c r="X375" s="87" t="n"/>
    </row>
    <row r="376">
      <c r="A376" s="4" t="n"/>
      <c r="B376" s="65" t="n"/>
      <c r="C376" s="65" t="n"/>
      <c r="D376" s="65" t="n"/>
      <c r="E376" s="2" t="n"/>
      <c r="F376" s="2" t="n"/>
      <c r="L376" s="1" t="n"/>
      <c r="M376" s="2" t="n"/>
      <c r="N376" s="2" t="n"/>
      <c r="O376" s="2" t="n"/>
      <c r="P376" s="2" t="n"/>
      <c r="Q376" s="2" t="n"/>
      <c r="R376" s="2" t="n"/>
      <c r="T376" s="91" t="n"/>
      <c r="U376" s="86" t="n"/>
      <c r="V376" s="86" t="n"/>
      <c r="W376" s="2" t="n"/>
      <c r="X376" s="87" t="n"/>
    </row>
    <row r="377">
      <c r="B377" s="80" t="n"/>
      <c r="C377" s="80" t="n"/>
      <c r="D377" s="80" t="n"/>
      <c r="E377" s="2" t="n"/>
      <c r="F377" s="2" t="n"/>
      <c r="L377" s="1" t="n"/>
      <c r="M377" s="2" t="n"/>
      <c r="N377" s="2" t="n"/>
      <c r="O377" s="2" t="n"/>
      <c r="P377" s="2" t="n"/>
      <c r="Q377" s="2" t="n"/>
      <c r="R377" s="2" t="n"/>
      <c r="T377" s="91" t="n"/>
      <c r="U377" s="86" t="n"/>
      <c r="V377" s="86" t="n"/>
      <c r="W377" s="2" t="n"/>
      <c r="X377" s="87" t="n"/>
    </row>
    <row r="378">
      <c r="A378" s="4" t="n"/>
      <c r="B378" s="65" t="n"/>
      <c r="C378" s="65" t="n"/>
      <c r="D378" s="65" t="n"/>
      <c r="E378" s="2" t="n"/>
      <c r="F378" s="2" t="n"/>
      <c r="L378" s="1" t="n"/>
      <c r="M378" s="2" t="n"/>
      <c r="N378" s="2" t="n"/>
      <c r="O378" s="2" t="n"/>
      <c r="P378" s="2" t="n"/>
      <c r="Q378" s="2" t="n"/>
      <c r="R378" s="2" t="n"/>
      <c r="T378" s="91" t="n"/>
      <c r="U378" s="86" t="n"/>
      <c r="V378" s="86" t="n"/>
      <c r="W378" s="2" t="n"/>
      <c r="X378" s="87" t="n"/>
    </row>
    <row r="379">
      <c r="A379" s="4" t="n"/>
      <c r="B379" s="65" t="n"/>
      <c r="C379" s="65" t="n"/>
      <c r="D379" s="65" t="n"/>
      <c r="E379" s="2" t="n"/>
      <c r="F379" s="2" t="n"/>
      <c r="L379" s="1" t="n"/>
      <c r="M379" s="2" t="n"/>
      <c r="N379" s="2" t="n"/>
      <c r="O379" s="2" t="n"/>
      <c r="P379" s="2" t="n"/>
      <c r="Q379" s="2" t="n"/>
      <c r="R379" s="2" t="n"/>
      <c r="T379" s="91" t="n"/>
      <c r="U379" s="86" t="n"/>
      <c r="V379" s="86" t="n"/>
      <c r="W379" s="2" t="n"/>
      <c r="X379" s="87" t="n"/>
    </row>
    <row r="380">
      <c r="A380" s="4" t="n"/>
      <c r="B380" s="65" t="n"/>
      <c r="C380" s="4" t="n"/>
      <c r="D380" s="4" t="n"/>
      <c r="E380" s="2" t="n"/>
      <c r="F380" s="2" t="n"/>
      <c r="L380" s="1" t="n"/>
      <c r="M380" s="2" t="n"/>
      <c r="N380" s="2" t="n"/>
      <c r="O380" s="2" t="n"/>
      <c r="P380" s="2" t="n"/>
      <c r="Q380" s="2" t="n"/>
      <c r="R380" s="2" t="n"/>
      <c r="T380" s="91" t="n"/>
      <c r="U380" s="86" t="n"/>
      <c r="V380" s="86" t="n"/>
      <c r="W380" s="2" t="n"/>
      <c r="X380" s="87" t="n"/>
    </row>
    <row r="381">
      <c r="A381" s="4" t="n"/>
      <c r="B381" s="65" t="n"/>
      <c r="C381" s="4" t="n"/>
      <c r="D381" s="4" t="n"/>
      <c r="E381" s="2" t="n"/>
      <c r="F381" s="2" t="n"/>
      <c r="L381" s="1" t="n"/>
      <c r="M381" s="2" t="n"/>
      <c r="N381" s="2" t="n"/>
      <c r="O381" s="2" t="n"/>
      <c r="P381" s="2" t="n"/>
      <c r="Q381" s="2" t="n"/>
      <c r="R381" s="2" t="n"/>
      <c r="T381" s="91" t="n"/>
      <c r="U381" s="86" t="n"/>
      <c r="V381" s="86" t="n"/>
      <c r="W381" s="2" t="n"/>
      <c r="X381" s="87" t="n"/>
    </row>
    <row r="382">
      <c r="A382" s="4" t="n"/>
      <c r="B382" s="65" t="n"/>
      <c r="C382" s="4" t="n"/>
      <c r="D382" s="4" t="n"/>
      <c r="E382" s="2" t="n"/>
      <c r="F382" s="2" t="n"/>
      <c r="L382" s="1" t="n"/>
      <c r="M382" s="2" t="n"/>
      <c r="N382" s="2" t="n"/>
      <c r="O382" s="2" t="n"/>
      <c r="P382" s="2" t="n"/>
      <c r="Q382" s="2" t="n"/>
      <c r="R382" s="2" t="n"/>
      <c r="T382" s="91" t="n"/>
      <c r="U382" s="86" t="n"/>
      <c r="V382" s="86" t="n"/>
      <c r="W382" s="2" t="n"/>
      <c r="X382" s="87" t="n"/>
    </row>
    <row r="383">
      <c r="A383" s="4" t="n"/>
      <c r="B383" s="65" t="n"/>
      <c r="C383" s="4" t="n"/>
      <c r="D383" s="4" t="n"/>
      <c r="E383" s="2" t="n"/>
      <c r="F383" s="2" t="n"/>
      <c r="L383" s="1" t="n"/>
      <c r="M383" s="2" t="n"/>
      <c r="N383" s="2" t="n"/>
      <c r="O383" s="2" t="n"/>
      <c r="P383" s="2" t="n"/>
      <c r="Q383" s="2" t="n"/>
      <c r="R383" s="2" t="n"/>
      <c r="T383" s="91" t="n"/>
      <c r="U383" s="86" t="n"/>
      <c r="V383" s="86" t="n"/>
      <c r="W383" s="2" t="n"/>
      <c r="X383" s="87" t="n"/>
    </row>
    <row r="384">
      <c r="A384" s="4" t="n"/>
      <c r="B384" s="65" t="n"/>
      <c r="C384" s="4" t="n"/>
      <c r="D384" s="4" t="n"/>
      <c r="E384" s="2" t="n"/>
      <c r="F384" s="2" t="n"/>
      <c r="L384" s="1" t="n"/>
      <c r="M384" s="2" t="n"/>
      <c r="N384" s="2" t="n"/>
      <c r="O384" s="2" t="n"/>
      <c r="P384" s="2" t="n"/>
      <c r="Q384" s="2" t="n"/>
      <c r="R384" s="2" t="n"/>
      <c r="T384" s="91" t="n"/>
      <c r="U384" s="86" t="n"/>
      <c r="V384" s="86" t="n"/>
      <c r="W384" s="2" t="n"/>
      <c r="X384" s="87" t="n"/>
    </row>
    <row r="385">
      <c r="A385" s="4" t="n"/>
      <c r="B385" s="65" t="n"/>
      <c r="C385" s="4" t="n"/>
      <c r="D385" s="4" t="n"/>
      <c r="E385" s="2" t="n"/>
      <c r="F385" s="2" t="n"/>
      <c r="L385" s="1" t="n"/>
      <c r="M385" s="2" t="n"/>
      <c r="N385" s="2" t="n"/>
      <c r="O385" s="2" t="n"/>
      <c r="P385" s="2" t="n"/>
      <c r="Q385" s="2" t="n"/>
      <c r="R385" s="2" t="n"/>
      <c r="T385" s="91" t="n"/>
      <c r="U385" s="86" t="n"/>
      <c r="V385" s="86" t="n"/>
      <c r="W385" s="2" t="n"/>
      <c r="X385" s="87" t="n"/>
    </row>
    <row r="386">
      <c r="A386" s="4" t="n"/>
      <c r="B386" s="65" t="n"/>
      <c r="C386" s="4" t="n"/>
      <c r="D386" s="4" t="n"/>
      <c r="E386" s="2" t="n"/>
      <c r="F386" s="2" t="n"/>
      <c r="L386" s="1" t="n"/>
      <c r="M386" s="2" t="n"/>
      <c r="N386" s="2" t="n"/>
      <c r="O386" s="2" t="n"/>
      <c r="P386" s="2" t="n"/>
      <c r="Q386" s="2" t="n"/>
      <c r="R386" s="2" t="n"/>
      <c r="T386" s="91" t="n"/>
      <c r="U386" s="86" t="n"/>
      <c r="V386" s="86" t="n"/>
      <c r="W386" s="2" t="n"/>
      <c r="X386" s="87" t="n"/>
    </row>
    <row r="387">
      <c r="A387" s="4" t="n"/>
      <c r="B387" s="65" t="n"/>
      <c r="C387" s="4" t="n"/>
      <c r="D387" s="4" t="n"/>
      <c r="E387" s="2" t="n"/>
      <c r="F387" s="2" t="n"/>
      <c r="L387" s="1" t="n"/>
      <c r="M387" s="2" t="n"/>
      <c r="N387" s="2" t="n"/>
      <c r="O387" s="2" t="n"/>
      <c r="P387" s="2" t="n"/>
      <c r="Q387" s="2" t="n"/>
      <c r="R387" s="2" t="n"/>
      <c r="T387" s="91" t="n"/>
      <c r="U387" s="86" t="n"/>
      <c r="V387" s="86" t="n"/>
      <c r="W387" s="2" t="n"/>
      <c r="X387" s="87" t="n"/>
    </row>
    <row r="388">
      <c r="A388" s="4" t="n"/>
      <c r="B388" s="65" t="n"/>
      <c r="C388" s="4" t="n"/>
      <c r="D388" s="4" t="n"/>
      <c r="E388" s="2" t="n"/>
      <c r="F388" s="2" t="n"/>
      <c r="L388" s="1" t="n"/>
      <c r="M388" s="2" t="n"/>
      <c r="N388" s="2" t="n"/>
      <c r="O388" s="2" t="n"/>
      <c r="P388" s="2" t="n"/>
      <c r="Q388" s="2" t="n"/>
      <c r="R388" s="2" t="n"/>
      <c r="T388" s="91" t="n"/>
      <c r="U388" s="86" t="n"/>
      <c r="V388" s="86" t="n"/>
      <c r="W388" s="2" t="n"/>
      <c r="X388" s="87" t="n"/>
    </row>
    <row r="389">
      <c r="A389" s="4" t="n"/>
      <c r="B389" s="65" t="n"/>
      <c r="C389" s="4" t="n"/>
      <c r="D389" s="4" t="n"/>
      <c r="E389" s="2" t="n"/>
      <c r="F389" s="2" t="n"/>
      <c r="L389" s="1" t="n"/>
      <c r="M389" s="2" t="n"/>
      <c r="N389" s="2" t="n"/>
      <c r="O389" s="2" t="n"/>
      <c r="P389" s="2" t="n"/>
      <c r="Q389" s="2" t="n"/>
      <c r="R389" s="2" t="n"/>
      <c r="T389" s="91" t="n"/>
      <c r="U389" s="86" t="n"/>
      <c r="V389" s="86" t="n"/>
      <c r="W389" s="2" t="n"/>
      <c r="X389" s="87" t="n"/>
    </row>
    <row r="390">
      <c r="A390" s="4" t="n"/>
      <c r="B390" s="65" t="n"/>
      <c r="C390" s="4" t="n"/>
      <c r="D390" s="4" t="n"/>
      <c r="E390" s="2" t="n"/>
      <c r="F390" s="2" t="n"/>
      <c r="L390" s="1" t="n"/>
      <c r="M390" s="2" t="n"/>
      <c r="N390" s="2" t="n"/>
      <c r="O390" s="2" t="n"/>
      <c r="P390" s="2" t="n"/>
      <c r="Q390" s="2" t="n"/>
      <c r="R390" s="2" t="n"/>
      <c r="T390" s="91" t="n"/>
      <c r="U390" s="86" t="n"/>
      <c r="V390" s="86" t="n"/>
      <c r="W390" s="2" t="n"/>
      <c r="X390" s="87" t="n"/>
    </row>
    <row r="391">
      <c r="A391" s="4" t="n"/>
      <c r="B391" s="65" t="n"/>
      <c r="C391" s="4" t="n"/>
      <c r="D391" s="4" t="n"/>
      <c r="E391" s="2" t="n"/>
      <c r="F391" s="2" t="n"/>
      <c r="L391" s="1" t="n"/>
      <c r="M391" s="2" t="n"/>
      <c r="N391" s="2" t="n"/>
      <c r="O391" s="2" t="n"/>
      <c r="P391" s="2" t="n"/>
      <c r="Q391" s="2" t="n"/>
      <c r="R391" s="2" t="n"/>
      <c r="T391" s="91" t="n"/>
      <c r="U391" s="86" t="n"/>
      <c r="V391" s="86" t="n"/>
      <c r="W391" s="2" t="n"/>
      <c r="X391" s="87" t="n"/>
    </row>
    <row r="392">
      <c r="A392" s="4" t="n"/>
      <c r="B392" s="65" t="n"/>
      <c r="C392" s="4" t="n"/>
      <c r="D392" s="4" t="n"/>
      <c r="E392" s="2" t="n"/>
      <c r="F392" s="2" t="n"/>
      <c r="L392" s="1" t="n"/>
      <c r="M392" s="2" t="n"/>
      <c r="N392" s="2" t="n"/>
      <c r="O392" s="2" t="n"/>
      <c r="P392" s="2" t="n"/>
      <c r="Q392" s="2" t="n"/>
      <c r="R392" s="2" t="n"/>
      <c r="T392" s="91" t="n"/>
      <c r="U392" s="86" t="n"/>
      <c r="V392" s="86" t="n"/>
      <c r="W392" s="2" t="n"/>
      <c r="X392" s="87" t="n"/>
    </row>
    <row r="393">
      <c r="A393" s="4" t="n"/>
      <c r="B393" s="65" t="n"/>
      <c r="C393" s="4" t="n"/>
      <c r="D393" s="4" t="n"/>
      <c r="E393" s="2" t="n"/>
      <c r="F393" s="2" t="n"/>
      <c r="L393" s="1" t="n"/>
      <c r="M393" s="2" t="n"/>
      <c r="N393" s="2" t="n"/>
      <c r="O393" s="2" t="n"/>
      <c r="P393" s="2" t="n"/>
      <c r="Q393" s="2" t="n"/>
      <c r="R393" s="2" t="n"/>
      <c r="T393" s="91" t="n"/>
      <c r="U393" s="86" t="n"/>
      <c r="V393" s="86" t="n"/>
      <c r="W393" s="2" t="n"/>
      <c r="X393" s="87" t="n"/>
    </row>
    <row r="394">
      <c r="A394" s="4" t="n"/>
      <c r="B394" s="65" t="n"/>
      <c r="C394" s="4" t="n"/>
      <c r="D394" s="4" t="n"/>
      <c r="E394" s="2" t="n"/>
      <c r="F394" s="2" t="n"/>
      <c r="L394" s="1" t="n"/>
      <c r="M394" s="2" t="n"/>
      <c r="N394" s="2" t="n"/>
      <c r="O394" s="2" t="n"/>
      <c r="P394" s="2" t="n"/>
      <c r="Q394" s="2" t="n"/>
      <c r="R394" s="2" t="n"/>
      <c r="T394" s="91" t="n"/>
      <c r="U394" s="86" t="n"/>
      <c r="V394" s="86" t="n"/>
      <c r="W394" s="2" t="n"/>
      <c r="X394" s="87" t="n"/>
    </row>
    <row r="395">
      <c r="A395" s="4" t="n"/>
      <c r="B395" s="65" t="n"/>
      <c r="C395" s="4" t="n"/>
      <c r="D395" s="4" t="n"/>
      <c r="E395" s="2" t="n"/>
      <c r="F395" s="2" t="n"/>
      <c r="L395" s="1" t="n"/>
      <c r="M395" s="2" t="n"/>
      <c r="N395" s="2" t="n"/>
      <c r="O395" s="2" t="n"/>
      <c r="P395" s="2" t="n"/>
      <c r="Q395" s="2" t="n"/>
      <c r="R395" s="2" t="n"/>
      <c r="T395" s="91" t="n"/>
      <c r="U395" s="86" t="n"/>
      <c r="V395" s="86" t="n"/>
      <c r="W395" s="2" t="n"/>
      <c r="X395" s="87" t="n"/>
    </row>
    <row r="396">
      <c r="A396" s="4" t="n"/>
      <c r="B396" s="65" t="n"/>
      <c r="C396" s="4" t="n"/>
      <c r="D396" s="4" t="n"/>
      <c r="E396" s="2" t="n"/>
      <c r="F396" s="2" t="n"/>
      <c r="L396" s="1" t="n"/>
      <c r="M396" s="2" t="n"/>
      <c r="N396" s="2" t="n"/>
      <c r="O396" s="2" t="n"/>
      <c r="P396" s="2" t="n"/>
      <c r="Q396" s="2" t="n"/>
      <c r="R396" s="2" t="n"/>
      <c r="T396" s="91" t="n"/>
      <c r="U396" s="86" t="n"/>
      <c r="V396" s="86" t="n"/>
      <c r="W396" s="2" t="n"/>
      <c r="X396" s="87" t="n"/>
    </row>
    <row r="397">
      <c r="A397" s="4" t="n"/>
      <c r="B397" s="65" t="n"/>
      <c r="C397" s="4" t="n"/>
      <c r="D397" s="4" t="n"/>
      <c r="E397" s="2" t="n"/>
      <c r="F397" s="2" t="n"/>
      <c r="L397" s="1" t="n"/>
      <c r="M397" s="2" t="n"/>
      <c r="N397" s="2" t="n"/>
      <c r="O397" s="2" t="n"/>
      <c r="P397" s="2" t="n"/>
      <c r="Q397" s="2" t="n"/>
      <c r="R397" s="2" t="n"/>
      <c r="T397" s="91" t="n"/>
      <c r="U397" s="86" t="n"/>
      <c r="V397" s="86" t="n"/>
      <c r="W397" s="2" t="n"/>
      <c r="X397" s="87" t="n"/>
    </row>
    <row r="398">
      <c r="A398" s="4" t="n"/>
      <c r="B398" s="65" t="n"/>
      <c r="C398" s="4" t="n"/>
      <c r="D398" s="4" t="n"/>
      <c r="E398" s="2" t="n"/>
      <c r="F398" s="2" t="n"/>
      <c r="L398" s="1" t="n"/>
      <c r="M398" s="2" t="n"/>
      <c r="N398" s="2" t="n"/>
      <c r="O398" s="2" t="n"/>
      <c r="P398" s="2" t="n"/>
      <c r="Q398" s="2" t="n"/>
      <c r="R398" s="2" t="n"/>
      <c r="T398" s="91" t="n"/>
      <c r="U398" s="86" t="n"/>
      <c r="V398" s="86" t="n"/>
      <c r="W398" s="2" t="n"/>
      <c r="X398" s="87" t="n"/>
    </row>
    <row r="399">
      <c r="A399" s="4" t="n"/>
      <c r="B399" s="65" t="n"/>
      <c r="C399" s="4" t="n"/>
      <c r="D399" s="4" t="n"/>
      <c r="E399" s="2" t="n"/>
      <c r="F399" s="2" t="n"/>
      <c r="L399" s="1" t="n"/>
      <c r="M399" s="2" t="n"/>
      <c r="N399" s="2" t="n"/>
      <c r="O399" s="2" t="n"/>
      <c r="P399" s="2" t="n"/>
      <c r="Q399" s="2" t="n"/>
      <c r="R399" s="2" t="n"/>
      <c r="T399" s="91" t="n"/>
      <c r="U399" s="86" t="n"/>
      <c r="V399" s="86" t="n"/>
      <c r="W399" s="2" t="n"/>
      <c r="X399" s="87" t="n"/>
    </row>
    <row r="400">
      <c r="A400" s="4" t="n"/>
      <c r="B400" s="65" t="n"/>
      <c r="C400" s="4" t="n"/>
      <c r="D400" s="4" t="n"/>
      <c r="E400" s="2" t="n"/>
      <c r="F400" s="2" t="n"/>
      <c r="L400" s="1" t="n"/>
      <c r="M400" s="2" t="n"/>
      <c r="N400" s="2" t="n"/>
      <c r="O400" s="2" t="n"/>
      <c r="P400" s="2" t="n"/>
      <c r="Q400" s="2" t="n"/>
      <c r="R400" s="2" t="n"/>
      <c r="T400" s="91" t="n"/>
      <c r="U400" s="86" t="n"/>
      <c r="V400" s="86" t="n"/>
      <c r="W400" s="2" t="n"/>
      <c r="X400" s="87" t="n"/>
    </row>
    <row r="401">
      <c r="A401" s="4" t="n"/>
      <c r="B401" s="65" t="n"/>
      <c r="C401" s="4" t="n"/>
      <c r="D401" s="4" t="n"/>
      <c r="E401" s="2" t="n"/>
      <c r="F401" s="2" t="n"/>
      <c r="L401" s="1" t="n"/>
      <c r="M401" s="2" t="n"/>
      <c r="N401" s="2" t="n"/>
      <c r="O401" s="2" t="n"/>
      <c r="P401" s="2" t="n"/>
      <c r="Q401" s="2" t="n"/>
      <c r="R401" s="2" t="n"/>
      <c r="T401" s="91" t="n"/>
      <c r="U401" s="86" t="n"/>
      <c r="V401" s="86" t="n"/>
      <c r="W401" s="2" t="n"/>
      <c r="X401" s="87" t="n"/>
    </row>
    <row r="402">
      <c r="A402" s="4" t="n"/>
      <c r="B402" s="65" t="n"/>
      <c r="C402" s="4" t="n"/>
      <c r="D402" s="4" t="n"/>
      <c r="E402" s="2" t="n"/>
      <c r="F402" s="2" t="n"/>
      <c r="L402" s="1" t="n"/>
      <c r="M402" s="2" t="n"/>
      <c r="N402" s="2" t="n"/>
      <c r="O402" s="2" t="n"/>
      <c r="P402" s="2" t="n"/>
      <c r="Q402" s="2" t="n"/>
      <c r="R402" s="2" t="n"/>
      <c r="T402" s="91" t="n"/>
      <c r="U402" s="86" t="n"/>
      <c r="V402" s="86" t="n"/>
      <c r="W402" s="2" t="n"/>
      <c r="X402" s="87" t="n"/>
    </row>
    <row r="403">
      <c r="A403" s="4" t="n"/>
      <c r="B403" s="65" t="n"/>
      <c r="C403" s="4" t="n"/>
      <c r="D403" s="4" t="n"/>
      <c r="E403" s="2" t="n"/>
      <c r="F403" s="2" t="n"/>
      <c r="L403" s="1" t="n"/>
      <c r="M403" s="2" t="n"/>
      <c r="N403" s="2" t="n"/>
      <c r="O403" s="2" t="n"/>
      <c r="P403" s="2" t="n"/>
      <c r="Q403" s="2" t="n"/>
      <c r="R403" s="2" t="n"/>
      <c r="T403" s="91" t="n"/>
      <c r="U403" s="86" t="n"/>
      <c r="V403" s="86" t="n"/>
      <c r="W403" s="2" t="n"/>
      <c r="X403" s="87" t="n"/>
    </row>
    <row r="404">
      <c r="A404" s="4" t="n"/>
      <c r="B404" s="65" t="n"/>
      <c r="C404" s="4" t="n"/>
      <c r="D404" s="4" t="n"/>
      <c r="E404" s="2" t="n"/>
      <c r="F404" s="2" t="n"/>
      <c r="L404" s="1" t="n"/>
      <c r="M404" s="2" t="n"/>
      <c r="N404" s="2" t="n"/>
      <c r="O404" s="2" t="n"/>
      <c r="P404" s="2" t="n"/>
      <c r="Q404" s="2" t="n"/>
      <c r="R404" s="2" t="n"/>
      <c r="T404" s="91" t="n"/>
      <c r="U404" s="86" t="n"/>
      <c r="V404" s="86" t="n"/>
      <c r="W404" s="2" t="n"/>
      <c r="X404" s="87" t="n"/>
    </row>
    <row r="405">
      <c r="A405" s="4" t="n"/>
      <c r="B405" s="65" t="n"/>
      <c r="C405" s="4" t="n"/>
      <c r="D405" s="4" t="n"/>
      <c r="E405" s="2" t="n"/>
      <c r="F405" s="2" t="n"/>
      <c r="L405" s="1" t="n"/>
      <c r="M405" s="2" t="n"/>
      <c r="N405" s="2" t="n"/>
      <c r="O405" s="2" t="n"/>
      <c r="P405" s="2" t="n"/>
      <c r="Q405" s="2" t="n"/>
      <c r="R405" s="2" t="n"/>
      <c r="T405" s="91" t="n"/>
      <c r="U405" s="86" t="n"/>
      <c r="V405" s="86" t="n"/>
      <c r="W405" s="2" t="n"/>
      <c r="X405" s="87" t="n"/>
    </row>
    <row r="406">
      <c r="A406" s="4" t="n"/>
      <c r="B406" s="65" t="n"/>
      <c r="C406" s="4" t="n"/>
      <c r="D406" s="4" t="n"/>
      <c r="E406" s="2" t="n"/>
      <c r="F406" s="2" t="n"/>
      <c r="L406" s="1" t="n"/>
      <c r="M406" s="2" t="n"/>
      <c r="N406" s="2" t="n"/>
      <c r="O406" s="2" t="n"/>
      <c r="P406" s="2" t="n"/>
      <c r="Q406" s="2" t="n"/>
      <c r="R406" s="2" t="n"/>
      <c r="T406" s="91" t="n"/>
      <c r="U406" s="86" t="n"/>
      <c r="V406" s="86" t="n"/>
      <c r="W406" s="2" t="n"/>
      <c r="X406" s="87" t="n"/>
    </row>
    <row r="407">
      <c r="A407" s="4" t="n"/>
      <c r="B407" s="65" t="n"/>
      <c r="C407" s="4" t="n"/>
      <c r="D407" s="4" t="n"/>
      <c r="E407" s="2" t="n"/>
      <c r="F407" s="2" t="n"/>
      <c r="L407" s="1" t="n"/>
      <c r="M407" s="2" t="n"/>
      <c r="N407" s="2" t="n"/>
      <c r="O407" s="2" t="n"/>
      <c r="P407" s="2" t="n"/>
      <c r="Q407" s="2" t="n"/>
      <c r="R407" s="2" t="n"/>
      <c r="T407" s="91" t="n"/>
      <c r="U407" s="86" t="n"/>
      <c r="V407" s="86" t="n"/>
      <c r="W407" s="2" t="n"/>
      <c r="X407" s="87" t="n"/>
    </row>
    <row r="408">
      <c r="A408" s="4" t="n"/>
      <c r="B408" s="65" t="n"/>
      <c r="C408" s="4" t="n"/>
      <c r="D408" s="4" t="n"/>
      <c r="E408" s="2" t="n"/>
      <c r="F408" s="2" t="n"/>
      <c r="L408" s="1" t="n"/>
      <c r="M408" s="2" t="n"/>
      <c r="N408" s="2" t="n"/>
      <c r="O408" s="2" t="n"/>
      <c r="P408" s="2" t="n"/>
      <c r="Q408" s="2" t="n"/>
      <c r="R408" s="2" t="n"/>
      <c r="T408" s="91" t="n"/>
      <c r="U408" s="86" t="n"/>
      <c r="V408" s="86" t="n"/>
      <c r="W408" s="2" t="n"/>
      <c r="X408" s="87" t="n"/>
    </row>
    <row r="409">
      <c r="A409" s="4" t="n"/>
      <c r="B409" s="65" t="n"/>
      <c r="C409" s="4" t="n"/>
      <c r="D409" s="4" t="n"/>
      <c r="E409" s="2" t="n"/>
      <c r="F409" s="2" t="n"/>
      <c r="L409" s="1" t="n"/>
      <c r="M409" s="2" t="n"/>
      <c r="N409" s="2" t="n"/>
      <c r="O409" s="2" t="n"/>
      <c r="P409" s="2" t="n"/>
      <c r="Q409" s="2" t="n"/>
      <c r="R409" s="2" t="n"/>
      <c r="T409" s="91" t="n"/>
      <c r="U409" s="86" t="n"/>
      <c r="V409" s="86" t="n"/>
      <c r="W409" s="2" t="n"/>
      <c r="X409" s="87" t="n"/>
    </row>
    <row r="410">
      <c r="A410" s="4" t="n"/>
      <c r="B410" s="65" t="n"/>
      <c r="C410" s="4" t="n"/>
      <c r="D410" s="4" t="n"/>
      <c r="E410" s="2" t="n"/>
      <c r="F410" s="2" t="n"/>
      <c r="L410" s="1" t="n"/>
      <c r="M410" s="2" t="n"/>
      <c r="N410" s="2" t="n"/>
      <c r="O410" s="2" t="n"/>
      <c r="P410" s="2" t="n"/>
      <c r="Q410" s="2" t="n"/>
      <c r="R410" s="2" t="n"/>
      <c r="T410" s="91" t="n"/>
      <c r="U410" s="86" t="n"/>
      <c r="V410" s="86" t="n"/>
      <c r="W410" s="2" t="n"/>
      <c r="X410" s="87" t="n"/>
    </row>
    <row r="411">
      <c r="A411" s="4" t="n"/>
      <c r="B411" s="65" t="n"/>
      <c r="C411" s="4" t="n"/>
      <c r="D411" s="4" t="n"/>
      <c r="E411" s="2" t="n"/>
      <c r="F411" s="2" t="n"/>
      <c r="L411" s="1" t="n"/>
      <c r="M411" s="2" t="n"/>
      <c r="N411" s="2" t="n"/>
      <c r="O411" s="2" t="n"/>
      <c r="P411" s="2" t="n"/>
      <c r="Q411" s="2" t="n"/>
      <c r="R411" s="2" t="n"/>
      <c r="T411" s="91" t="n"/>
      <c r="U411" s="86" t="n"/>
      <c r="V411" s="86" t="n"/>
      <c r="W411" s="2" t="n"/>
      <c r="X411" s="87" t="n"/>
    </row>
    <row r="412">
      <c r="A412" s="4" t="n"/>
      <c r="B412" s="65" t="n"/>
      <c r="C412" s="4" t="n"/>
      <c r="D412" s="4" t="n"/>
      <c r="E412" s="2" t="n"/>
      <c r="F412" s="2" t="n"/>
      <c r="L412" s="1" t="n"/>
      <c r="M412" s="2" t="n"/>
      <c r="N412" s="2" t="n"/>
      <c r="O412" s="2" t="n"/>
      <c r="P412" s="2" t="n"/>
      <c r="Q412" s="2" t="n"/>
      <c r="R412" s="2" t="n"/>
      <c r="T412" s="91" t="n"/>
      <c r="U412" s="86" t="n"/>
      <c r="V412" s="86" t="n"/>
      <c r="W412" s="2" t="n"/>
      <c r="X412" s="87" t="n"/>
    </row>
    <row r="413">
      <c r="A413" s="4" t="n"/>
      <c r="B413" s="65" t="n"/>
      <c r="C413" s="4" t="n"/>
      <c r="D413" s="4" t="n"/>
      <c r="E413" s="2" t="n"/>
      <c r="F413" s="2" t="n"/>
      <c r="L413" s="1" t="n"/>
      <c r="M413" s="2" t="n"/>
      <c r="N413" s="2" t="n"/>
      <c r="O413" s="2" t="n"/>
      <c r="P413" s="2" t="n"/>
      <c r="Q413" s="2" t="n"/>
      <c r="R413" s="2" t="n"/>
      <c r="T413" s="91" t="n"/>
      <c r="U413" s="86" t="n"/>
      <c r="V413" s="86" t="n"/>
      <c r="W413" s="2" t="n"/>
      <c r="X413" s="87" t="n"/>
    </row>
    <row r="414">
      <c r="A414" s="4" t="n"/>
      <c r="B414" s="65" t="n"/>
      <c r="C414" s="4" t="n"/>
      <c r="D414" s="4" t="n"/>
      <c r="E414" s="2" t="n"/>
      <c r="F414" s="2" t="n"/>
      <c r="L414" s="1" t="n"/>
      <c r="M414" s="2" t="n"/>
      <c r="N414" s="2" t="n"/>
      <c r="O414" s="2" t="n"/>
      <c r="P414" s="2" t="n"/>
      <c r="Q414" s="2" t="n"/>
      <c r="R414" s="2" t="n"/>
      <c r="T414" s="91" t="n"/>
      <c r="U414" s="86" t="n"/>
      <c r="V414" s="86" t="n"/>
      <c r="W414" s="2" t="n"/>
      <c r="X414" s="87" t="n"/>
    </row>
    <row r="415">
      <c r="A415" s="4" t="n"/>
      <c r="B415" s="65" t="n"/>
      <c r="C415" s="4" t="n"/>
      <c r="D415" s="4" t="n"/>
      <c r="E415" s="2" t="n"/>
      <c r="F415" s="2" t="n"/>
      <c r="L415" s="1" t="n"/>
      <c r="M415" s="2" t="n"/>
      <c r="N415" s="2" t="n"/>
      <c r="O415" s="2" t="n"/>
      <c r="P415" s="2" t="n"/>
      <c r="Q415" s="2" t="n"/>
      <c r="R415" s="2" t="n"/>
      <c r="T415" s="91" t="n"/>
      <c r="U415" s="86" t="n"/>
      <c r="V415" s="86" t="n"/>
      <c r="W415" s="2" t="n"/>
      <c r="X415" s="87" t="n"/>
    </row>
    <row r="416">
      <c r="A416" s="4" t="n"/>
      <c r="B416" s="65" t="n"/>
      <c r="C416" s="4" t="n"/>
      <c r="D416" s="4" t="n"/>
      <c r="E416" s="2" t="n"/>
      <c r="F416" s="2" t="n"/>
      <c r="H416" s="3" t="n"/>
      <c r="I416" s="3" t="n"/>
      <c r="J416" s="3" t="n"/>
      <c r="S416" s="3" t="n"/>
      <c r="T416" s="3" t="n"/>
      <c r="U416" s="2" t="n"/>
      <c r="V416" s="2" t="n"/>
      <c r="W416" s="2" t="n"/>
      <c r="X416" s="2" t="n"/>
    </row>
    <row r="417">
      <c r="A417" s="4" t="n"/>
      <c r="B417" s="65" t="n"/>
      <c r="C417" s="4" t="n"/>
      <c r="D417" s="4" t="n"/>
      <c r="E417" s="2" t="n"/>
      <c r="F417" s="2" t="n"/>
      <c r="T417" s="1" t="n"/>
      <c r="U417" s="2" t="n"/>
      <c r="V417" s="2" t="n"/>
      <c r="W417" s="2" t="n"/>
      <c r="X417" s="2" t="n"/>
    </row>
    <row r="418">
      <c r="A418" s="4" t="n"/>
      <c r="B418" s="65" t="n"/>
      <c r="C418" s="4" t="n"/>
      <c r="D418" s="4" t="n"/>
      <c r="E418" s="2" t="n"/>
      <c r="F418" s="2" t="n"/>
      <c r="T418" s="1" t="n"/>
      <c r="U418" s="2" t="n"/>
      <c r="V418" s="2" t="n"/>
      <c r="W418" s="2" t="n"/>
      <c r="X418" s="2" t="n"/>
    </row>
    <row r="419">
      <c r="A419" s="4" t="n"/>
      <c r="B419" s="65" t="n"/>
      <c r="C419" s="4" t="n"/>
      <c r="D419" s="4" t="n"/>
      <c r="E419" s="2" t="n"/>
      <c r="F419" s="2" t="n"/>
      <c r="J419" s="3" t="n"/>
      <c r="K419" s="3" t="n"/>
      <c r="T419" s="1" t="n"/>
      <c r="U419" s="2" t="n"/>
      <c r="V419" s="2" t="n"/>
      <c r="W419" s="2" t="n"/>
      <c r="X419" s="2" t="n"/>
    </row>
    <row r="420">
      <c r="A420" s="4" t="n"/>
      <c r="B420" s="65" t="n"/>
      <c r="C420" s="4" t="n"/>
      <c r="D420" s="4" t="n"/>
      <c r="E420" s="2" t="n"/>
      <c r="F420" s="2" t="n"/>
      <c r="T420" s="1" t="n"/>
      <c r="U420" s="2" t="n"/>
      <c r="V420" s="2" t="n"/>
      <c r="W420" s="2" t="n"/>
      <c r="X420" s="2" t="n"/>
    </row>
    <row r="421">
      <c r="A421" s="4" t="n"/>
      <c r="B421" s="65" t="n"/>
      <c r="C421" s="4" t="n"/>
      <c r="D421" s="4" t="n"/>
      <c r="E421" s="2" t="n"/>
      <c r="F421" s="2" t="n"/>
      <c r="T421" s="1" t="n"/>
      <c r="U421" s="2" t="n"/>
      <c r="V421" s="2" t="n"/>
      <c r="W421" s="2" t="n"/>
      <c r="X421" s="2" t="n"/>
    </row>
    <row r="422">
      <c r="A422" s="8" t="n"/>
      <c r="B422" s="88" t="n"/>
      <c r="C422" s="8" t="n"/>
      <c r="D422" s="8" t="n"/>
      <c r="E422" s="2" t="n"/>
      <c r="F422" s="2" t="n"/>
      <c r="T422" s="1" t="n"/>
      <c r="U422" s="2" t="n"/>
      <c r="V422" s="2" t="n"/>
      <c r="W422" s="2" t="n"/>
      <c r="X422" s="2" t="n"/>
    </row>
    <row r="423">
      <c r="A423" s="4" t="n"/>
      <c r="B423" s="88" t="n"/>
      <c r="C423" s="3" t="n"/>
      <c r="D423" s="3" t="n"/>
      <c r="E423" s="2" t="n"/>
      <c r="F423" s="2" t="n"/>
      <c r="T423" s="1" t="n"/>
      <c r="U423" s="2" t="n"/>
      <c r="V423" s="2" t="n"/>
      <c r="W423" s="2" t="n"/>
      <c r="X423" s="2" t="n"/>
    </row>
    <row r="424">
      <c r="B424" s="80" t="n"/>
      <c r="D424" s="1" t="n"/>
      <c r="E424" s="2" t="n"/>
      <c r="F424" s="2" t="n"/>
      <c r="T424" s="1" t="n"/>
      <c r="U424" s="2" t="n"/>
      <c r="V424" s="2" t="n"/>
      <c r="W424" s="2" t="n"/>
      <c r="X424" s="2" t="n"/>
    </row>
    <row r="425">
      <c r="B425" s="80" t="n"/>
      <c r="D425" s="1" t="n"/>
      <c r="E425" s="2" t="n"/>
      <c r="F425" s="2" t="n"/>
      <c r="T425" s="1" t="n"/>
      <c r="U425" s="2" t="n"/>
      <c r="V425" s="2" t="n"/>
      <c r="W425" s="2" t="n"/>
      <c r="X425" s="2" t="n"/>
    </row>
    <row r="426">
      <c r="B426" s="80" t="n"/>
      <c r="D426" s="1" t="n"/>
      <c r="E426" s="2" t="n"/>
      <c r="F426" s="2" t="n"/>
      <c r="T426" s="1" t="n"/>
      <c r="U426" s="2" t="n"/>
      <c r="V426" s="2" t="n"/>
      <c r="W426" s="2" t="n"/>
      <c r="X426" s="2" t="n"/>
    </row>
    <row r="427">
      <c r="B427" s="80" t="n"/>
      <c r="D427" s="1" t="n"/>
      <c r="E427" s="2" t="n"/>
      <c r="F427" s="2" t="n"/>
      <c r="T427" s="1" t="n"/>
      <c r="U427" s="2" t="n"/>
      <c r="V427" s="2" t="n"/>
      <c r="W427" s="2" t="n"/>
      <c r="X427" s="2" t="n"/>
    </row>
    <row r="428">
      <c r="B428" s="80" t="n"/>
      <c r="D428" s="1" t="n"/>
      <c r="E428" s="2" t="n"/>
      <c r="F428" s="2" t="n"/>
      <c r="T428" s="1" t="n"/>
      <c r="U428" s="2" t="n"/>
      <c r="V428" s="2" t="n"/>
      <c r="W428" s="2" t="n"/>
      <c r="X428" s="2" t="n"/>
    </row>
    <row r="429">
      <c r="B429" s="80" t="n"/>
      <c r="D429" s="1" t="n"/>
      <c r="E429" s="2" t="n"/>
      <c r="F429" s="2" t="n"/>
      <c r="T429" s="1" t="n"/>
      <c r="U429" s="2" t="n"/>
      <c r="V429" s="2" t="n"/>
      <c r="W429" s="2" t="n"/>
      <c r="X429" s="2" t="n"/>
    </row>
    <row r="430">
      <c r="B430" s="80" t="n"/>
      <c r="D430" s="1" t="n"/>
      <c r="E430" s="2" t="n"/>
      <c r="F430" s="2" t="n"/>
      <c r="T430" s="1" t="n"/>
      <c r="U430" s="2" t="n"/>
      <c r="V430" s="2" t="n"/>
      <c r="W430" s="2" t="n"/>
      <c r="X430" s="2" t="n"/>
    </row>
    <row r="431">
      <c r="B431" s="80" t="n"/>
      <c r="C431" s="4" t="n"/>
      <c r="D431" s="4" t="n"/>
      <c r="E431" s="2" t="n"/>
      <c r="F431" s="2" t="n"/>
      <c r="T431" s="1" t="n"/>
      <c r="U431" s="2" t="n"/>
      <c r="V431" s="2" t="n"/>
      <c r="W431" s="2" t="n"/>
      <c r="X431" s="2" t="n"/>
    </row>
    <row r="432">
      <c r="B432" s="80" t="n"/>
      <c r="D432" s="1" t="n"/>
      <c r="E432" s="2" t="n"/>
      <c r="F432" s="2" t="n"/>
      <c r="T432" s="1" t="n"/>
      <c r="U432" s="2" t="n"/>
      <c r="V432" s="2" t="n"/>
      <c r="W432" s="2" t="n"/>
      <c r="X432" s="2" t="n"/>
    </row>
    <row r="433">
      <c r="B433" s="89" t="n"/>
      <c r="C433" s="3" t="n"/>
      <c r="D433" s="3" t="n"/>
      <c r="E433" s="2" t="n"/>
      <c r="F433" s="90" t="n"/>
      <c r="G433" s="3" t="n"/>
      <c r="H433" s="3" t="n"/>
      <c r="I433" s="3" t="n"/>
      <c r="J433" s="3" t="n"/>
      <c r="T433" s="1" t="n"/>
      <c r="U433" s="2" t="n"/>
      <c r="V433" s="2" t="n"/>
      <c r="W433" s="2" t="n"/>
      <c r="X433" s="2" t="n"/>
    </row>
    <row r="434">
      <c r="B434" s="80" t="n"/>
      <c r="D434" s="1" t="n"/>
      <c r="E434" s="2" t="n"/>
      <c r="F434" s="2" t="n"/>
      <c r="T434" s="1" t="n"/>
      <c r="U434" s="2" t="n"/>
      <c r="V434" s="2" t="n"/>
      <c r="W434" s="2" t="n"/>
      <c r="X434" s="2" t="n"/>
    </row>
    <row r="435">
      <c r="B435" s="80" t="n"/>
      <c r="D435" s="1" t="n"/>
      <c r="E435" s="2" t="n"/>
      <c r="F435" s="2" t="n"/>
      <c r="T435" s="1" t="n"/>
      <c r="U435" s="2" t="n"/>
      <c r="V435" s="2" t="n"/>
      <c r="W435" s="2" t="n"/>
      <c r="X435" s="2" t="n"/>
    </row>
    <row r="436">
      <c r="B436" s="80" t="n"/>
      <c r="D436" s="1" t="n"/>
      <c r="E436" s="2" t="n"/>
      <c r="F436" s="2" t="n"/>
      <c r="T436" s="1" t="n"/>
      <c r="U436" s="2" t="n"/>
      <c r="V436" s="2" t="n"/>
      <c r="W436" s="2" t="n"/>
      <c r="X436" s="2" t="n"/>
    </row>
    <row r="437">
      <c r="B437" s="80" t="n"/>
      <c r="D437" s="1" t="n"/>
      <c r="E437" s="2" t="n"/>
      <c r="F437" s="2" t="n"/>
      <c r="T437" s="1" t="n"/>
      <c r="U437" s="2" t="n"/>
      <c r="V437" s="2" t="n"/>
      <c r="W437" s="2" t="n"/>
      <c r="X437" s="2" t="n"/>
    </row>
    <row r="438">
      <c r="B438" s="80" t="n"/>
      <c r="D438" s="1" t="n"/>
      <c r="E438" s="2" t="n"/>
      <c r="F438" s="2" t="n"/>
      <c r="T438" s="1" t="n"/>
      <c r="U438" s="2" t="n"/>
      <c r="V438" s="2" t="n"/>
      <c r="W438" s="2" t="n"/>
      <c r="X438" s="2" t="n"/>
    </row>
    <row r="439">
      <c r="B439" s="80" t="n"/>
      <c r="T439" s="1" t="n"/>
      <c r="U439" s="2" t="n"/>
      <c r="V439" s="2" t="n"/>
      <c r="W439" s="2" t="n"/>
      <c r="X439" s="2" t="n"/>
    </row>
    <row r="440">
      <c r="B440" s="80" t="n"/>
      <c r="T440" s="1" t="n"/>
      <c r="U440" s="2" t="n"/>
      <c r="V440" s="2" t="n"/>
      <c r="W440" s="2" t="n"/>
      <c r="X440" s="2" t="n"/>
    </row>
    <row r="441">
      <c r="B441" s="80" t="n"/>
      <c r="T441" s="1" t="n"/>
      <c r="U441" s="2" t="n"/>
      <c r="V441" s="2" t="n"/>
      <c r="W441" s="2" t="n"/>
      <c r="X441" s="2" t="n"/>
    </row>
    <row r="442">
      <c r="B442" s="80" t="n"/>
      <c r="T442" s="1" t="n"/>
      <c r="U442" s="2" t="n"/>
      <c r="V442" s="2" t="n"/>
      <c r="W442" s="2" t="n"/>
      <c r="X442" s="2" t="n"/>
    </row>
    <row r="443">
      <c r="B443" s="80" t="n"/>
      <c r="T443" s="1" t="n"/>
      <c r="U443" s="2" t="n"/>
      <c r="V443" s="2" t="n"/>
      <c r="W443" s="2" t="n"/>
      <c r="X443" s="2" t="n"/>
    </row>
    <row r="444">
      <c r="B444" s="80" t="n"/>
      <c r="T444" s="1" t="n"/>
      <c r="U444" s="2" t="n"/>
      <c r="V444" s="2" t="n"/>
      <c r="W444" s="2" t="n"/>
      <c r="X444" s="2" t="n"/>
    </row>
    <row r="445">
      <c r="B445" s="80" t="n"/>
      <c r="T445" s="1" t="n"/>
      <c r="U445" s="2" t="n"/>
      <c r="V445" s="2" t="n"/>
      <c r="W445" s="2" t="n"/>
      <c r="X445" s="2" t="n"/>
    </row>
    <row r="446">
      <c r="B446" s="80" t="n"/>
      <c r="T446" s="1" t="n"/>
      <c r="U446" s="2" t="n"/>
      <c r="V446" s="2" t="n"/>
      <c r="W446" s="2" t="n"/>
      <c r="X446" s="2" t="n"/>
    </row>
    <row r="447">
      <c r="B447" s="80" t="n"/>
      <c r="T447" s="1" t="n"/>
      <c r="U447" s="2" t="n"/>
      <c r="V447" s="2" t="n"/>
      <c r="W447" s="2" t="n"/>
      <c r="X447" s="2" t="n"/>
    </row>
    <row r="448">
      <c r="B448" s="80" t="n"/>
      <c r="T448" s="1" t="n"/>
      <c r="U448" s="2" t="n"/>
      <c r="V448" s="2" t="n"/>
      <c r="W448" s="2" t="n"/>
      <c r="X448" s="2" t="n"/>
    </row>
    <row r="449">
      <c r="B449" s="80" t="n"/>
      <c r="T449" s="1" t="n"/>
      <c r="U449" s="2" t="n"/>
      <c r="V449" s="2" t="n"/>
      <c r="W449" s="2" t="n"/>
      <c r="X449" s="2" t="n"/>
    </row>
    <row r="450">
      <c r="B450" s="80" t="n"/>
      <c r="T450" s="1" t="n"/>
      <c r="U450" s="2" t="n"/>
      <c r="V450" s="2" t="n"/>
      <c r="W450" s="2" t="n"/>
      <c r="X450" s="2" t="n"/>
    </row>
    <row r="451">
      <c r="B451" s="80" t="n"/>
      <c r="T451" s="1" t="n"/>
      <c r="U451" s="2" t="n"/>
      <c r="V451" s="2" t="n"/>
      <c r="W451" s="2" t="n"/>
      <c r="X451" s="2" t="n"/>
    </row>
    <row r="452">
      <c r="B452" s="80" t="n"/>
      <c r="T452" s="1" t="n"/>
      <c r="U452" s="2" t="n"/>
      <c r="V452" s="2" t="n"/>
      <c r="W452" s="2" t="n"/>
      <c r="X452" s="2" t="n"/>
    </row>
    <row r="453">
      <c r="B453" s="80" t="n"/>
      <c r="T453" s="1" t="n"/>
      <c r="U453" s="2" t="n"/>
      <c r="V453" s="2" t="n"/>
      <c r="W453" s="2" t="n"/>
      <c r="X453" s="2" t="n"/>
    </row>
    <row r="454">
      <c r="B454" s="80" t="n"/>
      <c r="T454" s="1" t="n"/>
      <c r="U454" s="2" t="n"/>
      <c r="V454" s="2" t="n"/>
      <c r="W454" s="2" t="n"/>
      <c r="X454" s="2" t="n"/>
    </row>
    <row r="455">
      <c r="B455" s="80" t="n"/>
      <c r="T455" s="1" t="n"/>
      <c r="U455" s="2" t="n"/>
      <c r="V455" s="2" t="n"/>
      <c r="W455" s="2" t="n"/>
      <c r="X455" s="2" t="n"/>
    </row>
    <row r="456">
      <c r="B456" s="80" t="n"/>
      <c r="T456" s="1" t="n"/>
      <c r="U456" s="2" t="n"/>
      <c r="V456" s="2" t="n"/>
      <c r="W456" s="2" t="n"/>
      <c r="X456" s="2" t="n"/>
    </row>
    <row r="457">
      <c r="B457" s="80" t="n"/>
      <c r="T457" s="1" t="n"/>
      <c r="U457" s="2" t="n"/>
      <c r="V457" s="2" t="n"/>
      <c r="W457" s="2" t="n"/>
      <c r="X457" s="2" t="n"/>
    </row>
    <row r="458">
      <c r="B458" s="80" t="n"/>
      <c r="T458" s="1" t="n"/>
      <c r="U458" s="2" t="n"/>
      <c r="V458" s="2" t="n"/>
      <c r="W458" s="2" t="n"/>
      <c r="X458" s="2" t="n"/>
    </row>
    <row r="459">
      <c r="B459" s="80" t="n"/>
      <c r="T459" s="1" t="n"/>
      <c r="U459" s="2" t="n"/>
      <c r="V459" s="2" t="n"/>
      <c r="W459" s="2" t="n"/>
      <c r="X459" s="2" t="n"/>
    </row>
    <row r="460">
      <c r="B460" s="80" t="n"/>
      <c r="T460" s="1" t="n"/>
      <c r="U460" s="2" t="n"/>
      <c r="V460" s="2" t="n"/>
      <c r="W460" s="2" t="n"/>
      <c r="X460" s="2" t="n"/>
    </row>
    <row r="461">
      <c r="B461" s="80" t="n"/>
      <c r="T461" s="1" t="n"/>
      <c r="U461" s="2" t="n"/>
      <c r="V461" s="2" t="n"/>
      <c r="W461" s="2" t="n"/>
      <c r="X461" s="2" t="n"/>
    </row>
    <row r="462">
      <c r="B462" s="80" t="n"/>
      <c r="T462" s="1" t="n"/>
      <c r="U462" s="2" t="n"/>
      <c r="V462" s="2" t="n"/>
      <c r="W462" s="2" t="n"/>
      <c r="X462" s="2" t="n"/>
    </row>
    <row r="463">
      <c r="B463" s="80" t="n"/>
      <c r="T463" s="1" t="n"/>
      <c r="U463" s="2" t="n"/>
      <c r="V463" s="2" t="n"/>
      <c r="W463" s="2" t="n"/>
      <c r="X463" s="2" t="n"/>
    </row>
    <row r="464">
      <c r="B464" s="80" t="n"/>
      <c r="T464" s="1" t="n"/>
      <c r="U464" s="2" t="n"/>
      <c r="V464" s="2" t="n"/>
      <c r="W464" s="2" t="n"/>
      <c r="X464" s="2" t="n"/>
    </row>
    <row r="465">
      <c r="B465" s="80" t="n"/>
      <c r="T465" s="1" t="n"/>
      <c r="U465" s="2" t="n"/>
      <c r="V465" s="2" t="n"/>
      <c r="W465" s="2" t="n"/>
      <c r="X465" s="2" t="n"/>
    </row>
    <row r="466">
      <c r="B466" s="80" t="n"/>
      <c r="T466" s="1" t="n"/>
      <c r="U466" s="2" t="n"/>
      <c r="V466" s="2" t="n"/>
      <c r="W466" s="2" t="n"/>
      <c r="X466" s="2" t="n"/>
    </row>
    <row r="467">
      <c r="B467" s="80" t="n"/>
      <c r="T467" s="1" t="n"/>
      <c r="U467" s="2" t="n"/>
      <c r="V467" s="2" t="n"/>
      <c r="W467" s="2" t="n"/>
      <c r="X467" s="2" t="n"/>
    </row>
    <row r="468">
      <c r="B468" s="80" t="n"/>
      <c r="T468" s="1" t="n"/>
      <c r="U468" s="2" t="n"/>
      <c r="V468" s="2" t="n"/>
      <c r="W468" s="2" t="n"/>
      <c r="X468" s="2" t="n"/>
    </row>
    <row r="469">
      <c r="B469" s="80" t="n"/>
      <c r="T469" s="1" t="n"/>
      <c r="U469" s="2" t="n"/>
      <c r="V469" s="2" t="n"/>
      <c r="W469" s="2" t="n"/>
      <c r="X469" s="2" t="n"/>
    </row>
    <row r="470">
      <c r="B470" s="80" t="n"/>
      <c r="T470" s="1" t="n"/>
      <c r="U470" s="2" t="n"/>
      <c r="V470" s="2" t="n"/>
      <c r="W470" s="2" t="n"/>
      <c r="X470" s="2" t="n"/>
    </row>
    <row r="471">
      <c r="B471" s="80" t="n"/>
      <c r="T471" s="1" t="n"/>
      <c r="U471" s="2" t="n"/>
      <c r="V471" s="2" t="n"/>
      <c r="W471" s="2" t="n"/>
      <c r="X471" s="2" t="n"/>
    </row>
    <row r="472">
      <c r="B472" s="80" t="n"/>
      <c r="T472" s="1" t="n"/>
      <c r="U472" s="2" t="n"/>
      <c r="V472" s="2" t="n"/>
      <c r="W472" s="2" t="n"/>
      <c r="X472" s="2" t="n"/>
    </row>
    <row r="473">
      <c r="B473" s="80" t="n"/>
      <c r="T473" s="1" t="n"/>
      <c r="U473" s="2" t="n"/>
      <c r="V473" s="2" t="n"/>
      <c r="W473" s="2" t="n"/>
      <c r="X473" s="2" t="n"/>
    </row>
    <row r="474">
      <c r="B474" s="80" t="n"/>
      <c r="T474" s="1" t="n"/>
      <c r="U474" s="2" t="n"/>
      <c r="V474" s="2" t="n"/>
      <c r="W474" s="2" t="n"/>
      <c r="X474" s="2" t="n"/>
    </row>
    <row r="475">
      <c r="B475" s="80" t="n"/>
      <c r="T475" s="1" t="n"/>
      <c r="U475" s="2" t="n"/>
      <c r="V475" s="2" t="n"/>
      <c r="W475" s="2" t="n"/>
      <c r="X475" s="2" t="n"/>
    </row>
    <row r="476">
      <c r="B476" s="80" t="n"/>
      <c r="T476" s="1" t="n"/>
      <c r="U476" s="2" t="n"/>
      <c r="V476" s="2" t="n"/>
      <c r="W476" s="2" t="n"/>
      <c r="X476" s="2" t="n"/>
    </row>
    <row r="477">
      <c r="B477" s="80" t="n"/>
      <c r="T477" s="1" t="n"/>
      <c r="U477" s="2" t="n"/>
      <c r="V477" s="2" t="n"/>
      <c r="W477" s="2" t="n"/>
      <c r="X477" s="2" t="n"/>
    </row>
    <row r="478">
      <c r="B478" s="80" t="n"/>
      <c r="T478" s="1" t="n"/>
      <c r="U478" s="2" t="n"/>
      <c r="V478" s="2" t="n"/>
      <c r="W478" s="2" t="n"/>
      <c r="X478" s="2" t="n"/>
    </row>
    <row r="479">
      <c r="B479" s="80" t="n"/>
      <c r="T479" s="1" t="n"/>
      <c r="U479" s="2" t="n"/>
      <c r="V479" s="2" t="n"/>
      <c r="W479" s="2" t="n"/>
      <c r="X479" s="2" t="n"/>
    </row>
    <row r="480">
      <c r="B480" s="80" t="n"/>
      <c r="T480" s="1" t="n"/>
      <c r="U480" s="2" t="n"/>
      <c r="V480" s="2" t="n"/>
      <c r="W480" s="2" t="n"/>
      <c r="X480" s="2" t="n"/>
    </row>
    <row r="481">
      <c r="B481" s="80" t="n"/>
      <c r="T481" s="1" t="n"/>
      <c r="U481" s="2" t="n"/>
      <c r="V481" s="2" t="n"/>
      <c r="W481" s="2" t="n"/>
      <c r="X481" s="2" t="n"/>
    </row>
    <row r="482">
      <c r="B482" s="80" t="n"/>
      <c r="T482" s="1" t="n"/>
      <c r="U482" s="2" t="n"/>
      <c r="V482" s="2" t="n"/>
      <c r="W482" s="2" t="n"/>
      <c r="X482" s="2" t="n"/>
    </row>
    <row r="483">
      <c r="B483" s="80" t="n"/>
      <c r="T483" s="1" t="n"/>
      <c r="U483" s="2" t="n"/>
      <c r="V483" s="2" t="n"/>
      <c r="W483" s="2" t="n"/>
      <c r="X483" s="2" t="n"/>
    </row>
    <row r="484">
      <c r="B484" s="80" t="n"/>
      <c r="T484" s="1" t="n"/>
      <c r="U484" s="2" t="n"/>
      <c r="V484" s="2" t="n"/>
      <c r="W484" s="2" t="n"/>
      <c r="X484" s="2" t="n"/>
    </row>
    <row r="485">
      <c r="B485" s="80" t="n"/>
      <c r="T485" s="1" t="n"/>
      <c r="U485" s="2" t="n"/>
      <c r="V485" s="2" t="n"/>
      <c r="W485" s="2" t="n"/>
      <c r="X485" s="2" t="n"/>
    </row>
    <row r="486">
      <c r="B486" s="80" t="n"/>
      <c r="T486" s="1" t="n"/>
      <c r="U486" s="2" t="n"/>
      <c r="V486" s="2" t="n"/>
      <c r="W486" s="2" t="n"/>
      <c r="X486" s="2" t="n"/>
    </row>
    <row r="487">
      <c r="B487" s="80" t="n"/>
      <c r="T487" s="1" t="n"/>
      <c r="U487" s="2" t="n"/>
      <c r="V487" s="2" t="n"/>
      <c r="W487" s="2" t="n"/>
      <c r="X487" s="2" t="n"/>
    </row>
    <row r="488">
      <c r="B488" s="80" t="n"/>
      <c r="T488" s="1" t="n"/>
      <c r="U488" s="2" t="n"/>
      <c r="V488" s="2" t="n"/>
      <c r="W488" s="2" t="n"/>
      <c r="X488" s="2" t="n"/>
    </row>
    <row r="489">
      <c r="B489" s="80" t="n"/>
      <c r="T489" s="1" t="n"/>
      <c r="U489" s="2" t="n"/>
      <c r="V489" s="2" t="n"/>
      <c r="W489" s="2" t="n"/>
      <c r="X489" s="2" t="n"/>
    </row>
    <row r="490">
      <c r="B490" s="80" t="n"/>
      <c r="T490" s="1" t="n"/>
      <c r="U490" s="2" t="n"/>
      <c r="V490" s="2" t="n"/>
      <c r="W490" s="2" t="n"/>
      <c r="X490" s="2" t="n"/>
    </row>
    <row r="491">
      <c r="B491" s="80" t="n"/>
      <c r="T491" s="1" t="n"/>
      <c r="U491" s="2" t="n"/>
      <c r="V491" s="2" t="n"/>
      <c r="W491" s="2" t="n"/>
      <c r="X491" s="2" t="n"/>
    </row>
    <row r="492">
      <c r="B492" s="80" t="n"/>
      <c r="T492" s="1" t="n"/>
      <c r="U492" s="2" t="n"/>
      <c r="V492" s="2" t="n"/>
      <c r="W492" s="2" t="n"/>
      <c r="X492" s="2" t="n"/>
    </row>
    <row r="493">
      <c r="B493" s="80" t="n"/>
      <c r="T493" s="1" t="n"/>
      <c r="U493" s="2" t="n"/>
      <c r="V493" s="2" t="n"/>
      <c r="W493" s="2" t="n"/>
      <c r="X493" s="2" t="n"/>
    </row>
    <row r="494">
      <c r="B494" s="80" t="n"/>
      <c r="T494" s="1" t="n"/>
      <c r="U494" s="2" t="n"/>
      <c r="V494" s="2" t="n"/>
      <c r="W494" s="2" t="n"/>
      <c r="X494" s="2" t="n"/>
    </row>
    <row r="495">
      <c r="B495" s="80" t="n"/>
      <c r="T495" s="1" t="n"/>
      <c r="U495" s="2" t="n"/>
      <c r="V495" s="2" t="n"/>
      <c r="W495" s="2" t="n"/>
      <c r="X495" s="2" t="n"/>
    </row>
    <row r="496">
      <c r="B496" s="80" t="n"/>
      <c r="T496" s="1" t="n"/>
      <c r="U496" s="2" t="n"/>
      <c r="V496" s="2" t="n"/>
      <c r="W496" s="2" t="n"/>
      <c r="X496" s="2" t="n"/>
    </row>
    <row r="497">
      <c r="B497" s="80" t="n"/>
      <c r="T497" s="1" t="n"/>
      <c r="U497" s="2" t="n"/>
      <c r="V497" s="2" t="n"/>
      <c r="W497" s="2" t="n"/>
      <c r="X497" s="2" t="n"/>
    </row>
    <row r="498">
      <c r="B498" s="80" t="n"/>
      <c r="T498" s="1" t="n"/>
      <c r="U498" s="2" t="n"/>
      <c r="V498" s="2" t="n"/>
      <c r="W498" s="2" t="n"/>
      <c r="X498" s="2" t="n"/>
    </row>
    <row r="499">
      <c r="B499" s="80" t="n"/>
      <c r="T499" s="1" t="n"/>
      <c r="U499" s="2" t="n"/>
      <c r="V499" s="2" t="n"/>
      <c r="W499" s="2" t="n"/>
      <c r="X499" s="2" t="n"/>
    </row>
    <row r="500">
      <c r="B500" s="80" t="n"/>
      <c r="T500" s="1" t="n"/>
      <c r="U500" s="2" t="n"/>
      <c r="V500" s="2" t="n"/>
      <c r="W500" s="2" t="n"/>
      <c r="X500" s="2" t="n"/>
    </row>
    <row r="501">
      <c r="B501" s="80" t="n"/>
      <c r="T501" s="1" t="n"/>
      <c r="U501" s="2" t="n"/>
      <c r="V501" s="2" t="n"/>
      <c r="W501" s="2" t="n"/>
      <c r="X501" s="2" t="n"/>
    </row>
    <row r="502">
      <c r="B502" s="80" t="n"/>
      <c r="T502" s="1" t="n"/>
      <c r="U502" s="2" t="n"/>
      <c r="V502" s="2" t="n"/>
      <c r="W502" s="2" t="n"/>
      <c r="X502" s="2" t="n"/>
    </row>
    <row r="503">
      <c r="B503" s="80" t="n"/>
      <c r="T503" s="1" t="n"/>
      <c r="U503" s="2" t="n"/>
      <c r="V503" s="2" t="n"/>
      <c r="W503" s="2" t="n"/>
      <c r="X503" s="2" t="n"/>
    </row>
    <row r="504">
      <c r="B504" s="80" t="n"/>
      <c r="T504" s="1" t="n"/>
      <c r="U504" s="2" t="n"/>
      <c r="V504" s="2" t="n"/>
      <c r="W504" s="2" t="n"/>
      <c r="X504" s="2" t="n"/>
    </row>
    <row r="505">
      <c r="B505" s="80" t="n"/>
      <c r="T505" s="1" t="n"/>
      <c r="U505" s="2" t="n"/>
      <c r="V505" s="2" t="n"/>
      <c r="W505" s="2" t="n"/>
      <c r="X505" s="2" t="n"/>
    </row>
    <row r="506">
      <c r="B506" s="80" t="n"/>
      <c r="T506" s="1" t="n"/>
      <c r="U506" s="2" t="n"/>
      <c r="V506" s="2" t="n"/>
      <c r="W506" s="2" t="n"/>
      <c r="X506" s="2" t="n"/>
    </row>
    <row r="507">
      <c r="B507" s="80" t="n"/>
      <c r="T507" s="1" t="n"/>
      <c r="U507" s="2" t="n"/>
      <c r="V507" s="2" t="n"/>
      <c r="W507" s="2" t="n"/>
      <c r="X507" s="2" t="n"/>
    </row>
    <row r="508">
      <c r="B508" s="80" t="n"/>
      <c r="T508" s="1" t="n"/>
      <c r="U508" s="2" t="n"/>
      <c r="V508" s="2" t="n"/>
      <c r="W508" s="2" t="n"/>
      <c r="X508" s="2" t="n"/>
    </row>
    <row r="509">
      <c r="B509" s="80" t="n"/>
      <c r="T509" s="1" t="n"/>
      <c r="U509" s="2" t="n"/>
      <c r="V509" s="2" t="n"/>
      <c r="W509" s="2" t="n"/>
      <c r="X509" s="2" t="n"/>
    </row>
    <row r="510">
      <c r="B510" s="80" t="n"/>
      <c r="T510" s="1" t="n"/>
      <c r="U510" s="2" t="n"/>
      <c r="V510" s="2" t="n"/>
      <c r="W510" s="2" t="n"/>
      <c r="X510" s="2" t="n"/>
    </row>
    <row r="511">
      <c r="B511" s="80" t="n"/>
      <c r="T511" s="1" t="n"/>
      <c r="U511" s="2" t="n"/>
      <c r="V511" s="2" t="n"/>
      <c r="W511" s="2" t="n"/>
      <c r="X511" s="2" t="n"/>
    </row>
    <row r="512">
      <c r="B512" s="80" t="n"/>
      <c r="T512" s="1" t="n"/>
      <c r="U512" s="2" t="n"/>
      <c r="V512" s="2" t="n"/>
      <c r="W512" s="2" t="n"/>
      <c r="X512" s="2" t="n"/>
    </row>
    <row r="513">
      <c r="B513" s="80" t="n"/>
      <c r="T513" s="1" t="n"/>
      <c r="U513" s="2" t="n"/>
      <c r="V513" s="2" t="n"/>
      <c r="W513" s="2" t="n"/>
      <c r="X513" s="2" t="n"/>
    </row>
    <row r="514">
      <c r="B514" s="80" t="n"/>
      <c r="T514" s="1" t="n"/>
      <c r="U514" s="2" t="n"/>
      <c r="V514" s="2" t="n"/>
      <c r="W514" s="2" t="n"/>
      <c r="X514" s="2" t="n"/>
    </row>
    <row r="515">
      <c r="B515" s="80" t="n"/>
      <c r="T515" s="1" t="n"/>
      <c r="U515" s="2" t="n"/>
      <c r="V515" s="2" t="n"/>
      <c r="W515" s="2" t="n"/>
      <c r="X515" s="2" t="n"/>
    </row>
    <row r="516">
      <c r="B516" s="80" t="n"/>
      <c r="T516" s="1" t="n"/>
      <c r="U516" s="2" t="n"/>
      <c r="V516" s="2" t="n"/>
      <c r="W516" s="2" t="n"/>
      <c r="X516" s="2" t="n"/>
    </row>
    <row r="517">
      <c r="B517" s="80" t="n"/>
      <c r="T517" s="1" t="n"/>
      <c r="U517" s="2" t="n"/>
      <c r="V517" s="2" t="n"/>
      <c r="W517" s="2" t="n"/>
      <c r="X517" s="2" t="n"/>
    </row>
    <row r="518">
      <c r="B518" s="80" t="n"/>
      <c r="T518" s="1" t="n"/>
      <c r="U518" s="2" t="n"/>
      <c r="V518" s="2" t="n"/>
      <c r="W518" s="2" t="n"/>
      <c r="X518" s="2" t="n"/>
    </row>
    <row r="519">
      <c r="B519" s="80" t="n"/>
      <c r="T519" s="1" t="n"/>
      <c r="U519" s="2" t="n"/>
      <c r="V519" s="2" t="n"/>
      <c r="W519" s="2" t="n"/>
      <c r="X519" s="2" t="n"/>
    </row>
    <row r="520">
      <c r="B520" s="80" t="n"/>
      <c r="T520" s="1" t="n"/>
      <c r="U520" s="2" t="n"/>
      <c r="V520" s="2" t="n"/>
      <c r="W520" s="2" t="n"/>
      <c r="X520" s="2" t="n"/>
    </row>
    <row r="521">
      <c r="B521" s="80" t="n"/>
      <c r="T521" s="1" t="n"/>
      <c r="U521" s="2" t="n"/>
      <c r="V521" s="2" t="n"/>
      <c r="W521" s="2" t="n"/>
      <c r="X521" s="2" t="n"/>
    </row>
    <row r="522">
      <c r="B522" s="80" t="n"/>
      <c r="T522" s="1" t="n"/>
      <c r="U522" s="2" t="n"/>
      <c r="V522" s="2" t="n"/>
      <c r="W522" s="2" t="n"/>
      <c r="X522" s="2" t="n"/>
    </row>
    <row r="523">
      <c r="B523" s="80" t="n"/>
      <c r="T523" s="1" t="n"/>
      <c r="U523" s="2" t="n"/>
      <c r="V523" s="2" t="n"/>
      <c r="W523" s="2" t="n"/>
      <c r="X523" s="2" t="n"/>
    </row>
    <row r="524">
      <c r="B524" s="80" t="n"/>
      <c r="T524" s="1" t="n"/>
      <c r="U524" s="2" t="n"/>
      <c r="V524" s="2" t="n"/>
      <c r="W524" s="2" t="n"/>
      <c r="X524" s="2" t="n"/>
    </row>
    <row r="525">
      <c r="B525" s="80" t="n"/>
      <c r="T525" s="1" t="n"/>
      <c r="U525" s="2" t="n"/>
      <c r="V525" s="2" t="n"/>
      <c r="W525" s="2" t="n"/>
      <c r="X525" s="2" t="n"/>
    </row>
    <row r="526">
      <c r="B526" s="80" t="n"/>
      <c r="T526" s="1" t="n"/>
      <c r="U526" s="2" t="n"/>
      <c r="V526" s="2" t="n"/>
      <c r="W526" s="2" t="n"/>
      <c r="X526" s="2" t="n"/>
    </row>
    <row r="527">
      <c r="B527" s="80" t="n"/>
      <c r="T527" s="1" t="n"/>
      <c r="U527" s="2" t="n"/>
      <c r="V527" s="2" t="n"/>
      <c r="W527" s="2" t="n"/>
      <c r="X527" s="2" t="n"/>
    </row>
    <row r="528">
      <c r="B528" s="80" t="n"/>
      <c r="T528" s="1" t="n"/>
      <c r="U528" s="2" t="n"/>
      <c r="V528" s="2" t="n"/>
      <c r="W528" s="2" t="n"/>
      <c r="X528" s="2" t="n"/>
    </row>
    <row r="529">
      <c r="B529" s="80" t="n"/>
      <c r="T529" s="1" t="n"/>
      <c r="U529" s="2" t="n"/>
      <c r="V529" s="2" t="n"/>
      <c r="W529" s="2" t="n"/>
      <c r="X529" s="2" t="n"/>
    </row>
    <row r="530">
      <c r="B530" s="80" t="n"/>
      <c r="T530" s="1" t="n"/>
      <c r="U530" s="2" t="n"/>
      <c r="V530" s="2" t="n"/>
      <c r="W530" s="2" t="n"/>
      <c r="X530" s="2" t="n"/>
    </row>
    <row r="531">
      <c r="B531" s="80" t="n"/>
      <c r="T531" s="1" t="n"/>
      <c r="U531" s="2" t="n"/>
      <c r="V531" s="2" t="n"/>
      <c r="W531" s="2" t="n"/>
      <c r="X531" s="2" t="n"/>
    </row>
    <row r="532">
      <c r="B532" s="80" t="n"/>
      <c r="T532" s="1" t="n"/>
      <c r="U532" s="2" t="n"/>
      <c r="V532" s="2" t="n"/>
      <c r="W532" s="2" t="n"/>
      <c r="X532" s="2" t="n"/>
    </row>
    <row r="533">
      <c r="B533" s="80" t="n"/>
      <c r="T533" s="1" t="n"/>
      <c r="U533" s="2" t="n"/>
      <c r="V533" s="2" t="n"/>
      <c r="W533" s="2" t="n"/>
      <c r="X533" s="2" t="n"/>
    </row>
    <row r="534">
      <c r="B534" s="80" t="n"/>
      <c r="T534" s="1" t="n"/>
      <c r="U534" s="2" t="n"/>
      <c r="V534" s="2" t="n"/>
      <c r="W534" s="2" t="n"/>
      <c r="X534" s="2" t="n"/>
    </row>
    <row r="535">
      <c r="B535" s="80" t="n"/>
      <c r="T535" s="1" t="n"/>
      <c r="U535" s="2" t="n"/>
      <c r="V535" s="2" t="n"/>
      <c r="W535" s="2" t="n"/>
      <c r="X535" s="2" t="n"/>
    </row>
    <row r="536">
      <c r="B536" s="80" t="n"/>
      <c r="T536" s="1" t="n"/>
      <c r="U536" s="2" t="n"/>
      <c r="V536" s="2" t="n"/>
      <c r="W536" s="2" t="n"/>
      <c r="X536" s="2" t="n"/>
    </row>
    <row r="537">
      <c r="B537" s="80" t="n"/>
      <c r="T537" s="1" t="n"/>
      <c r="U537" s="2" t="n"/>
      <c r="V537" s="2" t="n"/>
      <c r="W537" s="2" t="n"/>
      <c r="X537" s="2" t="n"/>
    </row>
    <row r="538">
      <c r="B538" s="80" t="n"/>
      <c r="T538" s="1" t="n"/>
      <c r="U538" s="2" t="n"/>
      <c r="V538" s="2" t="n"/>
      <c r="W538" s="2" t="n"/>
      <c r="X538" s="2" t="n"/>
    </row>
    <row r="539">
      <c r="B539" s="80" t="n"/>
      <c r="T539" s="1" t="n"/>
      <c r="U539" s="2" t="n"/>
      <c r="V539" s="2" t="n"/>
      <c r="W539" s="2" t="n"/>
      <c r="X539" s="2" t="n"/>
    </row>
    <row r="540">
      <c r="B540" s="80" t="n"/>
      <c r="T540" s="1" t="n"/>
      <c r="U540" s="2" t="n"/>
      <c r="V540" s="2" t="n"/>
      <c r="W540" s="2" t="n"/>
      <c r="X540" s="2" t="n"/>
    </row>
    <row r="541">
      <c r="B541" s="80" t="n"/>
      <c r="T541" s="1" t="n"/>
      <c r="U541" s="2" t="n"/>
      <c r="V541" s="2" t="n"/>
      <c r="W541" s="2" t="n"/>
      <c r="X541" s="2" t="n"/>
    </row>
    <row r="542">
      <c r="B542" s="80" t="n"/>
      <c r="T542" s="1" t="n"/>
      <c r="U542" s="2" t="n"/>
      <c r="V542" s="2" t="n"/>
      <c r="W542" s="2" t="n"/>
      <c r="X542" s="2" t="n"/>
    </row>
    <row r="543">
      <c r="B543" s="80" t="n"/>
      <c r="T543" s="1" t="n"/>
      <c r="U543" s="2" t="n"/>
      <c r="V543" s="2" t="n"/>
      <c r="W543" s="2" t="n"/>
      <c r="X543" s="2" t="n"/>
    </row>
    <row r="544">
      <c r="B544" s="80" t="n"/>
      <c r="T544" s="1" t="n"/>
      <c r="U544" s="2" t="n"/>
      <c r="V544" s="2" t="n"/>
      <c r="W544" s="2" t="n"/>
      <c r="X544" s="2" t="n"/>
    </row>
    <row r="545">
      <c r="B545" s="80" t="n"/>
      <c r="T545" s="1" t="n"/>
      <c r="U545" s="2" t="n"/>
      <c r="V545" s="2" t="n"/>
      <c r="W545" s="2" t="n"/>
      <c r="X545" s="2" t="n"/>
    </row>
    <row r="546">
      <c r="B546" s="80" t="n"/>
      <c r="T546" s="1" t="n"/>
      <c r="U546" s="2" t="n"/>
      <c r="V546" s="2" t="n"/>
      <c r="W546" s="2" t="n"/>
      <c r="X546" s="2" t="n"/>
    </row>
    <row r="547">
      <c r="B547" s="80" t="n"/>
      <c r="T547" s="1" t="n"/>
      <c r="U547" s="2" t="n"/>
      <c r="V547" s="2" t="n"/>
      <c r="W547" s="2" t="n"/>
      <c r="X547" s="2" t="n"/>
    </row>
    <row r="548">
      <c r="B548" s="80" t="n"/>
      <c r="T548" s="1" t="n"/>
      <c r="U548" s="2" t="n"/>
      <c r="V548" s="2" t="n"/>
      <c r="W548" s="2" t="n"/>
      <c r="X548" s="2" t="n"/>
    </row>
    <row r="549">
      <c r="B549" s="80" t="n"/>
      <c r="T549" s="1" t="n"/>
      <c r="U549" s="2" t="n"/>
      <c r="V549" s="2" t="n"/>
      <c r="W549" s="2" t="n"/>
      <c r="X549" s="2" t="n"/>
    </row>
    <row r="550">
      <c r="B550" s="80" t="n"/>
      <c r="T550" s="1" t="n"/>
      <c r="U550" s="2" t="n"/>
      <c r="V550" s="2" t="n"/>
      <c r="W550" s="2" t="n"/>
      <c r="X550" s="2" t="n"/>
    </row>
    <row r="551">
      <c r="B551" s="80" t="n"/>
      <c r="T551" s="1" t="n"/>
      <c r="U551" s="2" t="n"/>
      <c r="V551" s="2" t="n"/>
      <c r="W551" s="2" t="n"/>
      <c r="X551" s="2" t="n"/>
    </row>
    <row r="552">
      <c r="B552" s="80" t="n"/>
      <c r="T552" s="1" t="n"/>
      <c r="U552" s="2" t="n"/>
      <c r="V552" s="2" t="n"/>
      <c r="W552" s="2" t="n"/>
      <c r="X552" s="2" t="n"/>
    </row>
    <row r="553">
      <c r="B553" s="80" t="n"/>
      <c r="T553" s="1" t="n"/>
      <c r="U553" s="2" t="n"/>
      <c r="V553" s="2" t="n"/>
      <c r="W553" s="2" t="n"/>
      <c r="X553" s="2" t="n"/>
    </row>
    <row r="554">
      <c r="B554" s="80" t="n"/>
      <c r="T554" s="1" t="n"/>
      <c r="U554" s="2" t="n"/>
      <c r="V554" s="2" t="n"/>
      <c r="W554" s="2" t="n"/>
      <c r="X554" s="2" t="n"/>
    </row>
    <row r="555">
      <c r="B555" s="80" t="n"/>
      <c r="T555" s="1" t="n"/>
      <c r="U555" s="2" t="n"/>
      <c r="V555" s="2" t="n"/>
      <c r="W555" s="2" t="n"/>
      <c r="X555" s="2" t="n"/>
    </row>
    <row r="556">
      <c r="B556" s="80" t="n"/>
      <c r="T556" s="1" t="n"/>
      <c r="U556" s="2" t="n"/>
      <c r="V556" s="2" t="n"/>
      <c r="W556" s="2" t="n"/>
      <c r="X556" s="2" t="n"/>
    </row>
    <row r="557">
      <c r="B557" s="80" t="n"/>
      <c r="T557" s="1" t="n"/>
      <c r="U557" s="2" t="n"/>
      <c r="V557" s="2" t="n"/>
      <c r="W557" s="2" t="n"/>
      <c r="X557" s="2" t="n"/>
    </row>
    <row r="558">
      <c r="B558" s="80" t="n"/>
      <c r="T558" s="1" t="n"/>
      <c r="U558" s="2" t="n"/>
      <c r="V558" s="2" t="n"/>
      <c r="W558" s="2" t="n"/>
      <c r="X558" s="2" t="n"/>
    </row>
    <row r="559">
      <c r="B559" s="80" t="n"/>
      <c r="T559" s="1" t="n"/>
      <c r="U559" s="2" t="n"/>
      <c r="V559" s="2" t="n"/>
      <c r="W559" s="2" t="n"/>
      <c r="X559" s="2" t="n"/>
    </row>
    <row r="560">
      <c r="B560" s="80" t="n"/>
      <c r="T560" s="1" t="n"/>
      <c r="U560" s="2" t="n"/>
      <c r="V560" s="2" t="n"/>
      <c r="W560" s="2" t="n"/>
      <c r="X560" s="2" t="n"/>
    </row>
    <row r="561">
      <c r="B561" s="80" t="n"/>
      <c r="T561" s="1" t="n"/>
      <c r="U561" s="2" t="n"/>
      <c r="V561" s="2" t="n"/>
      <c r="W561" s="2" t="n"/>
      <c r="X561" s="2" t="n"/>
    </row>
    <row r="562">
      <c r="B562" s="80" t="n"/>
      <c r="T562" s="1" t="n"/>
      <c r="U562" s="2" t="n"/>
      <c r="V562" s="2" t="n"/>
      <c r="W562" s="2" t="n"/>
      <c r="X562" s="2" t="n"/>
    </row>
    <row r="563">
      <c r="B563" s="80" t="n"/>
      <c r="T563" s="1" t="n"/>
      <c r="U563" s="2" t="n"/>
      <c r="V563" s="2" t="n"/>
      <c r="W563" s="2" t="n"/>
      <c r="X563" s="2" t="n"/>
    </row>
    <row r="564">
      <c r="B564" s="80" t="n"/>
      <c r="T564" s="1" t="n"/>
      <c r="U564" s="2" t="n"/>
      <c r="V564" s="2" t="n"/>
      <c r="W564" s="2" t="n"/>
      <c r="X564" s="2" t="n"/>
    </row>
    <row r="565">
      <c r="B565" s="80" t="n"/>
      <c r="T565" s="1" t="n"/>
      <c r="U565" s="2" t="n"/>
      <c r="V565" s="2" t="n"/>
      <c r="W565" s="2" t="n"/>
      <c r="X565" s="2" t="n"/>
    </row>
    <row r="566">
      <c r="B566" s="80" t="n"/>
      <c r="T566" s="1" t="n"/>
      <c r="U566" s="2" t="n"/>
      <c r="V566" s="2" t="n"/>
      <c r="W566" s="2" t="n"/>
      <c r="X566" s="2" t="n"/>
    </row>
    <row r="567">
      <c r="B567" s="80" t="n"/>
      <c r="T567" s="1" t="n"/>
      <c r="U567" s="2" t="n"/>
      <c r="V567" s="2" t="n"/>
      <c r="W567" s="2" t="n"/>
      <c r="X567" s="2" t="n"/>
    </row>
    <row r="568">
      <c r="B568" s="80" t="n"/>
      <c r="T568" s="1" t="n"/>
      <c r="U568" s="2" t="n"/>
      <c r="V568" s="2" t="n"/>
      <c r="W568" s="2" t="n"/>
      <c r="X568" s="2" t="n"/>
    </row>
    <row r="569">
      <c r="B569" s="80" t="n"/>
      <c r="T569" s="1" t="n"/>
      <c r="U569" s="2" t="n"/>
      <c r="V569" s="2" t="n"/>
      <c r="W569" s="2" t="n"/>
      <c r="X569" s="2" t="n"/>
    </row>
    <row r="570">
      <c r="B570" s="80" t="n"/>
      <c r="T570" s="1" t="n"/>
      <c r="U570" s="2" t="n"/>
      <c r="V570" s="2" t="n"/>
      <c r="W570" s="2" t="n"/>
      <c r="X570" s="2" t="n"/>
    </row>
    <row r="571">
      <c r="B571" s="80" t="n"/>
      <c r="T571" s="1" t="n"/>
      <c r="U571" s="2" t="n"/>
      <c r="V571" s="2" t="n"/>
      <c r="W571" s="2" t="n"/>
      <c r="X571" s="2" t="n"/>
    </row>
    <row r="572">
      <c r="B572" s="80" t="n"/>
      <c r="T572" s="1" t="n"/>
      <c r="U572" s="2" t="n"/>
      <c r="V572" s="2" t="n"/>
      <c r="W572" s="2" t="n"/>
      <c r="X572" s="2" t="n"/>
    </row>
    <row r="573">
      <c r="B573" s="80" t="n"/>
      <c r="T573" s="1" t="n"/>
      <c r="U573" s="2" t="n"/>
      <c r="V573" s="2" t="n"/>
      <c r="W573" s="2" t="n"/>
      <c r="X573" s="2" t="n"/>
    </row>
    <row r="574">
      <c r="B574" s="80" t="n"/>
      <c r="T574" s="1" t="n"/>
      <c r="U574" s="2" t="n"/>
      <c r="V574" s="2" t="n"/>
      <c r="W574" s="2" t="n"/>
      <c r="X574" s="2" t="n"/>
    </row>
    <row r="575">
      <c r="B575" s="80" t="n"/>
      <c r="T575" s="1" t="n"/>
      <c r="U575" s="2" t="n"/>
      <c r="V575" s="2" t="n"/>
      <c r="W575" s="2" t="n"/>
      <c r="X575" s="2" t="n"/>
    </row>
    <row r="576">
      <c r="B576" s="80" t="n"/>
      <c r="T576" s="1" t="n"/>
      <c r="U576" s="2" t="n"/>
      <c r="V576" s="2" t="n"/>
      <c r="W576" s="2" t="n"/>
      <c r="X576" s="2" t="n"/>
    </row>
    <row r="577">
      <c r="B577" s="80" t="n"/>
      <c r="T577" s="1" t="n"/>
      <c r="U577" s="2" t="n"/>
      <c r="V577" s="2" t="n"/>
      <c r="W577" s="2" t="n"/>
      <c r="X577" s="2" t="n"/>
    </row>
    <row r="578">
      <c r="B578" s="80" t="n"/>
      <c r="T578" s="1" t="n"/>
      <c r="U578" s="2" t="n"/>
      <c r="V578" s="2" t="n"/>
      <c r="W578" s="2" t="n"/>
      <c r="X578" s="2" t="n"/>
    </row>
    <row r="579">
      <c r="B579" s="80" t="n"/>
      <c r="T579" s="1" t="n"/>
      <c r="U579" s="2" t="n"/>
      <c r="V579" s="2" t="n"/>
      <c r="W579" s="2" t="n"/>
      <c r="X579" s="2" t="n"/>
    </row>
    <row r="580">
      <c r="B580" s="80" t="n"/>
      <c r="T580" s="1" t="n"/>
      <c r="U580" s="2" t="n"/>
      <c r="V580" s="2" t="n"/>
      <c r="W580" s="2" t="n"/>
      <c r="X580" s="2" t="n"/>
    </row>
    <row r="581">
      <c r="B581" s="80" t="n"/>
      <c r="T581" s="1" t="n"/>
      <c r="U581" s="2" t="n"/>
      <c r="V581" s="2" t="n"/>
      <c r="W581" s="2" t="n"/>
      <c r="X581" s="2" t="n"/>
    </row>
    <row r="582">
      <c r="B582" s="80" t="n"/>
      <c r="T582" s="1" t="n"/>
      <c r="U582" s="2" t="n"/>
      <c r="V582" s="2" t="n"/>
      <c r="W582" s="2" t="n"/>
      <c r="X582" s="2" t="n"/>
    </row>
    <row r="583">
      <c r="B583" s="80" t="n"/>
      <c r="T583" s="1" t="n"/>
      <c r="U583" s="2" t="n"/>
      <c r="V583" s="2" t="n"/>
      <c r="W583" s="2" t="n"/>
      <c r="X583" s="2" t="n"/>
    </row>
    <row r="584">
      <c r="B584" s="80" t="n"/>
      <c r="T584" s="1" t="n"/>
      <c r="U584" s="2" t="n"/>
      <c r="V584" s="2" t="n"/>
      <c r="W584" s="2" t="n"/>
      <c r="X584" s="2" t="n"/>
    </row>
    <row r="585">
      <c r="B585" s="80" t="n"/>
      <c r="T585" s="1" t="n"/>
      <c r="U585" s="2" t="n"/>
      <c r="V585" s="2" t="n"/>
      <c r="W585" s="2" t="n"/>
      <c r="X585" s="2" t="n"/>
    </row>
    <row r="586">
      <c r="B586" s="80" t="n"/>
      <c r="T586" s="1" t="n"/>
      <c r="U586" s="2" t="n"/>
      <c r="V586" s="2" t="n"/>
      <c r="W586" s="2" t="n"/>
      <c r="X586" s="2" t="n"/>
    </row>
    <row r="587">
      <c r="B587" s="80" t="n"/>
      <c r="T587" s="1" t="n"/>
      <c r="U587" s="2" t="n"/>
      <c r="V587" s="2" t="n"/>
      <c r="W587" s="2" t="n"/>
      <c r="X587" s="2" t="n"/>
    </row>
    <row r="588">
      <c r="B588" s="80" t="n"/>
      <c r="T588" s="1" t="n"/>
      <c r="U588" s="2" t="n"/>
      <c r="V588" s="2" t="n"/>
      <c r="W588" s="2" t="n"/>
      <c r="X588" s="2" t="n"/>
    </row>
    <row r="589">
      <c r="B589" s="80" t="n"/>
      <c r="T589" s="1" t="n"/>
      <c r="U589" s="2" t="n"/>
      <c r="V589" s="2" t="n"/>
      <c r="W589" s="2" t="n"/>
      <c r="X589" s="2" t="n"/>
    </row>
    <row r="590">
      <c r="B590" s="80" t="n"/>
      <c r="T590" s="1" t="n"/>
      <c r="U590" s="2" t="n"/>
      <c r="V590" s="2" t="n"/>
      <c r="W590" s="2" t="n"/>
      <c r="X590" s="2" t="n"/>
    </row>
    <row r="591">
      <c r="B591" s="80" t="n"/>
      <c r="T591" s="1" t="n"/>
      <c r="U591" s="2" t="n"/>
      <c r="V591" s="2" t="n"/>
      <c r="W591" s="2" t="n"/>
      <c r="X591" s="2" t="n"/>
    </row>
    <row r="592">
      <c r="B592" s="80" t="n"/>
      <c r="T592" s="1" t="n"/>
      <c r="U592" s="2" t="n"/>
      <c r="V592" s="2" t="n"/>
      <c r="W592" s="2" t="n"/>
      <c r="X592" s="2" t="n"/>
    </row>
    <row r="593">
      <c r="B593" s="80" t="n"/>
      <c r="T593" s="1" t="n"/>
      <c r="U593" s="2" t="n"/>
      <c r="V593" s="2" t="n"/>
      <c r="W593" s="2" t="n"/>
      <c r="X593" s="2" t="n"/>
    </row>
    <row r="594">
      <c r="B594" s="80" t="n"/>
      <c r="T594" s="1" t="n"/>
      <c r="U594" s="2" t="n"/>
      <c r="V594" s="2" t="n"/>
      <c r="W594" s="2" t="n"/>
      <c r="X594" s="2" t="n"/>
    </row>
    <row r="595">
      <c r="B595" s="80" t="n"/>
      <c r="T595" s="1" t="n"/>
      <c r="U595" s="2" t="n"/>
      <c r="V595" s="2" t="n"/>
      <c r="W595" s="2" t="n"/>
      <c r="X595" s="2" t="n"/>
    </row>
    <row r="596">
      <c r="B596" s="80" t="n"/>
      <c r="T596" s="1" t="n"/>
      <c r="U596" s="2" t="n"/>
      <c r="V596" s="2" t="n"/>
      <c r="W596" s="2" t="n"/>
      <c r="X596" s="2" t="n"/>
    </row>
    <row r="597">
      <c r="B597" s="80" t="n"/>
      <c r="T597" s="1" t="n"/>
      <c r="U597" s="2" t="n"/>
      <c r="V597" s="2" t="n"/>
      <c r="W597" s="2" t="n"/>
      <c r="X597" s="2" t="n"/>
    </row>
    <row r="598">
      <c r="B598" s="80" t="n"/>
      <c r="T598" s="1" t="n"/>
      <c r="U598" s="2" t="n"/>
      <c r="V598" s="2" t="n"/>
      <c r="W598" s="2" t="n"/>
      <c r="X598" s="2" t="n"/>
    </row>
    <row r="599">
      <c r="B599" s="80" t="n"/>
      <c r="T599" s="1" t="n"/>
      <c r="U599" s="2" t="n"/>
      <c r="V599" s="2" t="n"/>
      <c r="W599" s="2" t="n"/>
      <c r="X599" s="2" t="n"/>
    </row>
    <row r="600">
      <c r="B600" s="80" t="n"/>
      <c r="T600" s="1" t="n"/>
      <c r="U600" s="2" t="n"/>
      <c r="V600" s="2" t="n"/>
      <c r="W600" s="2" t="n"/>
      <c r="X600" s="2" t="n"/>
    </row>
    <row r="601">
      <c r="B601" s="80" t="n"/>
      <c r="T601" s="1" t="n"/>
      <c r="U601" s="2" t="n"/>
      <c r="V601" s="2" t="n"/>
      <c r="W601" s="2" t="n"/>
      <c r="X601" s="2" t="n"/>
    </row>
    <row r="602">
      <c r="B602" s="80" t="n"/>
      <c r="T602" s="1" t="n"/>
      <c r="U602" s="2" t="n"/>
      <c r="V602" s="2" t="n"/>
      <c r="W602" s="2" t="n"/>
      <c r="X602" s="2" t="n"/>
    </row>
    <row r="603">
      <c r="B603" s="80" t="n"/>
      <c r="T603" s="1" t="n"/>
      <c r="U603" s="2" t="n"/>
      <c r="V603" s="2" t="n"/>
      <c r="W603" s="2" t="n"/>
      <c r="X603" s="2" t="n"/>
    </row>
    <row r="604">
      <c r="B604" s="80" t="n"/>
      <c r="T604" s="1" t="n"/>
      <c r="U604" s="2" t="n"/>
      <c r="V604" s="2" t="n"/>
      <c r="W604" s="2" t="n"/>
      <c r="X604" s="2" t="n"/>
    </row>
    <row r="605">
      <c r="B605" s="80" t="n"/>
      <c r="T605" s="1" t="n"/>
      <c r="U605" s="2" t="n"/>
      <c r="V605" s="2" t="n"/>
      <c r="W605" s="2" t="n"/>
      <c r="X605" s="2" t="n"/>
    </row>
    <row r="606">
      <c r="B606" s="80" t="n"/>
      <c r="T606" s="1" t="n"/>
      <c r="U606" s="2" t="n"/>
      <c r="V606" s="2" t="n"/>
      <c r="W606" s="2" t="n"/>
      <c r="X606" s="2" t="n"/>
    </row>
    <row r="607">
      <c r="B607" s="80" t="n"/>
      <c r="T607" s="1" t="n"/>
      <c r="U607" s="2" t="n"/>
      <c r="V607" s="2" t="n"/>
      <c r="W607" s="2" t="n"/>
      <c r="X607" s="2" t="n"/>
    </row>
    <row r="608">
      <c r="B608" s="80" t="n"/>
      <c r="T608" s="1" t="n"/>
      <c r="U608" s="2" t="n"/>
      <c r="V608" s="2" t="n"/>
      <c r="W608" s="2" t="n"/>
      <c r="X608" s="2" t="n"/>
    </row>
    <row r="609">
      <c r="B609" s="80" t="n"/>
      <c r="T609" s="1" t="n"/>
      <c r="U609" s="2" t="n"/>
      <c r="V609" s="2" t="n"/>
      <c r="W609" s="2" t="n"/>
      <c r="X609" s="2" t="n"/>
    </row>
    <row r="610">
      <c r="B610" s="80" t="n"/>
      <c r="T610" s="1" t="n"/>
      <c r="U610" s="2" t="n"/>
      <c r="V610" s="2" t="n"/>
      <c r="W610" s="2" t="n"/>
      <c r="X610" s="2" t="n"/>
    </row>
    <row r="611">
      <c r="B611" s="80" t="n"/>
      <c r="T611" s="1" t="n"/>
      <c r="U611" s="2" t="n"/>
      <c r="V611" s="2" t="n"/>
      <c r="W611" s="2" t="n"/>
      <c r="X611" s="2" t="n"/>
    </row>
    <row r="612">
      <c r="B612" s="80" t="n"/>
      <c r="T612" s="1" t="n"/>
      <c r="U612" s="2" t="n"/>
      <c r="V612" s="2" t="n"/>
      <c r="W612" s="2" t="n"/>
      <c r="X612" s="2" t="n"/>
    </row>
    <row r="613">
      <c r="B613" s="80" t="n"/>
      <c r="T613" s="1" t="n"/>
      <c r="U613" s="2" t="n"/>
      <c r="V613" s="2" t="n"/>
      <c r="W613" s="2" t="n"/>
      <c r="X613" s="2" t="n"/>
    </row>
    <row r="614">
      <c r="B614" s="80" t="n"/>
      <c r="T614" s="1" t="n"/>
      <c r="U614" s="2" t="n"/>
      <c r="V614" s="2" t="n"/>
      <c r="W614" s="2" t="n"/>
      <c r="X614" s="2" t="n"/>
    </row>
    <row r="615">
      <c r="B615" s="80" t="n"/>
      <c r="T615" s="1" t="n"/>
      <c r="U615" s="2" t="n"/>
      <c r="V615" s="2" t="n"/>
      <c r="W615" s="2" t="n"/>
      <c r="X615" s="2" t="n"/>
    </row>
    <row r="616">
      <c r="B616" s="80" t="n"/>
      <c r="T616" s="1" t="n"/>
      <c r="U616" s="2" t="n"/>
      <c r="V616" s="2" t="n"/>
      <c r="W616" s="2" t="n"/>
      <c r="X616" s="2" t="n"/>
    </row>
    <row r="617">
      <c r="B617" s="80" t="n"/>
      <c r="T617" s="1" t="n"/>
      <c r="U617" s="2" t="n"/>
      <c r="V617" s="2" t="n"/>
      <c r="W617" s="2" t="n"/>
      <c r="X617" s="2" t="n"/>
    </row>
    <row r="618">
      <c r="B618" s="80" t="n"/>
      <c r="T618" s="1" t="n"/>
      <c r="U618" s="2" t="n"/>
      <c r="V618" s="2" t="n"/>
      <c r="W618" s="2" t="n"/>
      <c r="X618" s="2" t="n"/>
    </row>
    <row r="619">
      <c r="B619" s="80" t="n"/>
      <c r="T619" s="1" t="n"/>
      <c r="U619" s="2" t="n"/>
      <c r="V619" s="2" t="n"/>
      <c r="W619" s="2" t="n"/>
      <c r="X619" s="2" t="n"/>
    </row>
    <row r="620">
      <c r="B620" s="80" t="n"/>
      <c r="T620" s="1" t="n"/>
      <c r="U620" s="2" t="n"/>
      <c r="V620" s="2" t="n"/>
      <c r="W620" s="2" t="n"/>
      <c r="X620" s="2" t="n"/>
    </row>
    <row r="621">
      <c r="B621" s="80" t="n"/>
      <c r="T621" s="1" t="n"/>
      <c r="U621" s="2" t="n"/>
      <c r="V621" s="2" t="n"/>
      <c r="W621" s="2" t="n"/>
      <c r="X621" s="2" t="n"/>
    </row>
    <row r="622">
      <c r="B622" s="80" t="n"/>
      <c r="T622" s="1" t="n"/>
      <c r="U622" s="2" t="n"/>
      <c r="V622" s="2" t="n"/>
      <c r="W622" s="2" t="n"/>
      <c r="X622" s="2" t="n"/>
    </row>
    <row r="623">
      <c r="B623" s="80" t="n"/>
      <c r="T623" s="1" t="n"/>
      <c r="U623" s="2" t="n"/>
      <c r="V623" s="2" t="n"/>
      <c r="W623" s="2" t="n"/>
      <c r="X623" s="2" t="n"/>
    </row>
    <row r="624">
      <c r="B624" s="80" t="n"/>
      <c r="T624" s="1" t="n"/>
      <c r="U624" s="2" t="n"/>
      <c r="V624" s="2" t="n"/>
      <c r="W624" s="2" t="n"/>
      <c r="X624" s="2" t="n"/>
    </row>
    <row r="625">
      <c r="B625" s="80" t="n"/>
      <c r="T625" s="1" t="n"/>
      <c r="U625" s="2" t="n"/>
      <c r="V625" s="2" t="n"/>
      <c r="W625" s="2" t="n"/>
      <c r="X625" s="2" t="n"/>
    </row>
    <row r="626">
      <c r="B626" s="80" t="n"/>
      <c r="T626" s="1" t="n"/>
      <c r="U626" s="2" t="n"/>
      <c r="V626" s="2" t="n"/>
      <c r="W626" s="2" t="n"/>
      <c r="X626" s="2" t="n"/>
    </row>
    <row r="627">
      <c r="B627" s="80" t="n"/>
      <c r="T627" s="1" t="n"/>
      <c r="U627" s="2" t="n"/>
      <c r="V627" s="2" t="n"/>
      <c r="W627" s="2" t="n"/>
      <c r="X627" s="2" t="n"/>
    </row>
    <row r="628">
      <c r="B628" s="80" t="n"/>
      <c r="T628" s="1" t="n"/>
      <c r="U628" s="2" t="n"/>
      <c r="V628" s="2" t="n"/>
      <c r="W628" s="2" t="n"/>
      <c r="X628" s="2" t="n"/>
    </row>
    <row r="629">
      <c r="B629" s="80" t="n"/>
      <c r="T629" s="1" t="n"/>
      <c r="U629" s="2" t="n"/>
      <c r="V629" s="2" t="n"/>
      <c r="W629" s="2" t="n"/>
      <c r="X629" s="2" t="n"/>
    </row>
    <row r="630">
      <c r="B630" s="80" t="n"/>
      <c r="T630" s="1" t="n"/>
      <c r="U630" s="2" t="n"/>
      <c r="V630" s="2" t="n"/>
      <c r="W630" s="2" t="n"/>
      <c r="X630" s="2" t="n"/>
    </row>
    <row r="631">
      <c r="B631" s="80" t="n"/>
      <c r="T631" s="1" t="n"/>
      <c r="U631" s="2" t="n"/>
      <c r="V631" s="2" t="n"/>
      <c r="W631" s="2" t="n"/>
      <c r="X631" s="2" t="n"/>
    </row>
    <row r="632">
      <c r="B632" s="80" t="n"/>
      <c r="T632" s="1" t="n"/>
      <c r="U632" s="2" t="n"/>
      <c r="V632" s="2" t="n"/>
      <c r="W632" s="2" t="n"/>
      <c r="X632" s="2" t="n"/>
    </row>
    <row r="633">
      <c r="B633" s="80" t="n"/>
      <c r="T633" s="1" t="n"/>
      <c r="U633" s="2" t="n"/>
      <c r="V633" s="2" t="n"/>
      <c r="W633" s="2" t="n"/>
      <c r="X633" s="2" t="n"/>
    </row>
    <row r="634">
      <c r="B634" s="80" t="n"/>
      <c r="T634" s="1" t="n"/>
      <c r="U634" s="2" t="n"/>
      <c r="V634" s="2" t="n"/>
      <c r="W634" s="2" t="n"/>
      <c r="X634" s="2" t="n"/>
    </row>
    <row r="635">
      <c r="B635" s="80" t="n"/>
      <c r="T635" s="1" t="n"/>
      <c r="U635" s="2" t="n"/>
      <c r="V635" s="2" t="n"/>
      <c r="W635" s="2" t="n"/>
      <c r="X635" s="2" t="n"/>
    </row>
    <row r="636">
      <c r="B636" s="80" t="n"/>
      <c r="T636" s="1" t="n"/>
      <c r="U636" s="2" t="n"/>
      <c r="V636" s="2" t="n"/>
      <c r="W636" s="2" t="n"/>
      <c r="X636" s="2" t="n"/>
    </row>
    <row r="637">
      <c r="B637" s="80" t="n"/>
      <c r="T637" s="1" t="n"/>
      <c r="U637" s="2" t="n"/>
      <c r="V637" s="2" t="n"/>
      <c r="W637" s="2" t="n"/>
      <c r="X637" s="2" t="n"/>
    </row>
    <row r="638">
      <c r="B638" s="80" t="n"/>
      <c r="T638" s="1" t="n"/>
      <c r="U638" s="2" t="n"/>
      <c r="V638" s="2" t="n"/>
      <c r="W638" s="2" t="n"/>
      <c r="X638" s="2" t="n"/>
    </row>
    <row r="639">
      <c r="B639" s="80" t="n"/>
      <c r="T639" s="1" t="n"/>
      <c r="U639" s="2" t="n"/>
      <c r="V639" s="2" t="n"/>
      <c r="W639" s="2" t="n"/>
      <c r="X639" s="2" t="n"/>
    </row>
    <row r="640">
      <c r="B640" s="80" t="n"/>
      <c r="T640" s="1" t="n"/>
      <c r="U640" s="2" t="n"/>
      <c r="V640" s="2" t="n"/>
      <c r="W640" s="2" t="n"/>
      <c r="X640" s="2" t="n"/>
    </row>
    <row r="641">
      <c r="B641" s="80" t="n"/>
      <c r="T641" s="1" t="n"/>
      <c r="U641" s="2" t="n"/>
      <c r="V641" s="2" t="n"/>
      <c r="W641" s="2" t="n"/>
      <c r="X641" s="2" t="n"/>
    </row>
    <row r="642">
      <c r="B642" s="80" t="n"/>
      <c r="T642" s="1" t="n"/>
      <c r="U642" s="2" t="n"/>
      <c r="V642" s="2" t="n"/>
      <c r="W642" s="2" t="n"/>
      <c r="X642" s="2" t="n"/>
    </row>
    <row r="643">
      <c r="B643" s="80" t="n"/>
      <c r="T643" s="1" t="n"/>
      <c r="U643" s="2" t="n"/>
      <c r="V643" s="2" t="n"/>
      <c r="W643" s="2" t="n"/>
      <c r="X643" s="2" t="n"/>
    </row>
    <row r="644">
      <c r="B644" s="80" t="n"/>
      <c r="T644" s="1" t="n"/>
      <c r="U644" s="2" t="n"/>
      <c r="V644" s="2" t="n"/>
      <c r="W644" s="2" t="n"/>
      <c r="X644" s="2" t="n"/>
    </row>
    <row r="645">
      <c r="T645" s="1" t="n"/>
      <c r="U645" s="2" t="n"/>
      <c r="V645" s="2" t="n"/>
      <c r="W645" s="2" t="n"/>
      <c r="X645" s="2" t="n"/>
    </row>
    <row r="646">
      <c r="T646" s="1" t="n"/>
      <c r="U646" s="2" t="n"/>
      <c r="V646" s="2" t="n"/>
      <c r="W646" s="2" t="n"/>
      <c r="X646" s="2" t="n"/>
    </row>
    <row r="647">
      <c r="T647" s="1" t="n"/>
      <c r="U647" s="2" t="n"/>
      <c r="V647" s="2" t="n"/>
      <c r="W647" s="2" t="n"/>
      <c r="X647" s="2" t="n"/>
    </row>
    <row r="648">
      <c r="T648" s="1" t="n"/>
      <c r="U648" s="2" t="n"/>
      <c r="V648" s="2" t="n"/>
      <c r="W648" s="2" t="n"/>
      <c r="X648" s="2" t="n"/>
    </row>
    <row r="649">
      <c r="T649" s="1" t="n"/>
      <c r="U649" s="2" t="n"/>
      <c r="V649" s="2" t="n"/>
      <c r="W649" s="2" t="n"/>
      <c r="X649" s="2" t="n"/>
    </row>
    <row r="650">
      <c r="T650" s="1" t="n"/>
      <c r="U650" s="2" t="n"/>
      <c r="V650" s="2" t="n"/>
      <c r="W650" s="2" t="n"/>
      <c r="X650" s="2" t="n"/>
    </row>
    <row r="651">
      <c r="T651" s="1" t="n"/>
      <c r="U651" s="2" t="n"/>
      <c r="V651" s="2" t="n"/>
      <c r="W651" s="2" t="n"/>
      <c r="X651" s="2" t="n"/>
    </row>
    <row r="652">
      <c r="T652" s="1" t="n"/>
      <c r="U652" s="2" t="n"/>
      <c r="V652" s="2" t="n"/>
      <c r="W652" s="2" t="n"/>
      <c r="X652" s="2" t="n"/>
    </row>
    <row r="653">
      <c r="T653" s="1" t="n"/>
      <c r="U653" s="2" t="n"/>
      <c r="V653" s="2" t="n"/>
      <c r="W653" s="2" t="n"/>
      <c r="X653" s="2" t="n"/>
    </row>
    <row r="654">
      <c r="T654" s="1" t="n"/>
      <c r="U654" s="2" t="n"/>
      <c r="V654" s="2" t="n"/>
      <c r="W654" s="2" t="n"/>
      <c r="X654" s="2" t="n"/>
    </row>
    <row r="655">
      <c r="T655" s="1" t="n"/>
      <c r="U655" s="2" t="n"/>
      <c r="V655" s="2" t="n"/>
      <c r="W655" s="2" t="n"/>
      <c r="X655" s="2" t="n"/>
    </row>
    <row r="656">
      <c r="T656" s="1" t="n"/>
      <c r="U656" s="2" t="n"/>
      <c r="V656" s="2" t="n"/>
      <c r="W656" s="2" t="n"/>
      <c r="X656" s="2" t="n"/>
    </row>
    <row r="657">
      <c r="T657" s="1" t="n"/>
      <c r="U657" s="2" t="n"/>
      <c r="V657" s="2" t="n"/>
      <c r="W657" s="2" t="n"/>
      <c r="X657" s="2" t="n"/>
    </row>
    <row r="658">
      <c r="T658" s="1" t="n"/>
      <c r="U658" s="2" t="n"/>
      <c r="V658" s="2" t="n"/>
      <c r="W658" s="2" t="n"/>
      <c r="X658" s="2" t="n"/>
    </row>
    <row r="659">
      <c r="T659" s="1" t="n"/>
      <c r="U659" s="2" t="n"/>
      <c r="V659" s="2" t="n"/>
      <c r="W659" s="2" t="n"/>
      <c r="X659" s="2" t="n"/>
    </row>
    <row r="660">
      <c r="T660" s="1" t="n"/>
      <c r="U660" s="2" t="n"/>
      <c r="V660" s="2" t="n"/>
      <c r="W660" s="2" t="n"/>
      <c r="X660" s="2" t="n"/>
    </row>
    <row r="661">
      <c r="T661" s="1" t="n"/>
      <c r="U661" s="2" t="n"/>
      <c r="V661" s="2" t="n"/>
      <c r="W661" s="2" t="n"/>
      <c r="X661" s="2" t="n"/>
    </row>
    <row r="662">
      <c r="T662" s="1" t="n"/>
      <c r="U662" s="2" t="n"/>
      <c r="V662" s="2" t="n"/>
      <c r="W662" s="2" t="n"/>
      <c r="X662" s="2" t="n"/>
    </row>
    <row r="663">
      <c r="T663" s="1" t="n"/>
      <c r="U663" s="2" t="n"/>
      <c r="V663" s="2" t="n"/>
      <c r="W663" s="2" t="n"/>
      <c r="X663" s="2" t="n"/>
    </row>
    <row r="664">
      <c r="T664" s="1" t="n"/>
      <c r="U664" s="2" t="n"/>
      <c r="V664" s="2" t="n"/>
      <c r="W664" s="2" t="n"/>
      <c r="X664" s="2" t="n"/>
    </row>
    <row r="665">
      <c r="T665" s="1" t="n"/>
      <c r="U665" s="2" t="n"/>
      <c r="V665" s="2" t="n"/>
      <c r="W665" s="2" t="n"/>
      <c r="X665" s="2" t="n"/>
    </row>
    <row r="666">
      <c r="T666" s="1" t="n"/>
      <c r="U666" s="2" t="n"/>
      <c r="V666" s="2" t="n"/>
      <c r="W666" s="2" t="n"/>
      <c r="X666" s="2" t="n"/>
    </row>
    <row r="667">
      <c r="T667" s="1" t="n"/>
      <c r="U667" s="2" t="n"/>
      <c r="V667" s="2" t="n"/>
      <c r="W667" s="2" t="n"/>
      <c r="X667" s="2" t="n"/>
    </row>
    <row r="668">
      <c r="T668" s="1" t="n"/>
      <c r="U668" s="2" t="n"/>
      <c r="V668" s="2" t="n"/>
      <c r="W668" s="2" t="n"/>
      <c r="X668" s="2" t="n"/>
    </row>
    <row r="669">
      <c r="T669" s="1" t="n"/>
      <c r="U669" s="2" t="n"/>
      <c r="V669" s="2" t="n"/>
      <c r="W669" s="2" t="n"/>
      <c r="X669" s="2" t="n"/>
    </row>
    <row r="670">
      <c r="T670" s="1" t="n"/>
      <c r="U670" s="2" t="n"/>
      <c r="V670" s="2" t="n"/>
      <c r="W670" s="2" t="n"/>
      <c r="X670" s="2" t="n"/>
    </row>
    <row r="671">
      <c r="T671" s="1" t="n"/>
      <c r="U671" s="2" t="n"/>
      <c r="V671" s="2" t="n"/>
      <c r="W671" s="2" t="n"/>
      <c r="X671" s="2" t="n"/>
    </row>
    <row r="672">
      <c r="T672" s="1" t="n"/>
      <c r="U672" s="2" t="n"/>
      <c r="V672" s="2" t="n"/>
      <c r="W672" s="2" t="n"/>
      <c r="X672" s="2" t="n"/>
    </row>
    <row r="673">
      <c r="T673" s="1" t="n"/>
      <c r="U673" s="2" t="n"/>
      <c r="V673" s="2" t="n"/>
      <c r="W673" s="2" t="n"/>
      <c r="X673" s="2" t="n"/>
    </row>
    <row r="674">
      <c r="T674" s="1" t="n"/>
      <c r="U674" s="2" t="n"/>
      <c r="V674" s="2" t="n"/>
      <c r="W674" s="2" t="n"/>
      <c r="X674" s="2" t="n"/>
    </row>
    <row r="675">
      <c r="T675" s="1" t="n"/>
      <c r="U675" s="2" t="n"/>
      <c r="V675" s="2" t="n"/>
      <c r="W675" s="2" t="n"/>
      <c r="X675" s="2" t="n"/>
    </row>
    <row r="676">
      <c r="T676" s="1" t="n"/>
      <c r="U676" s="2" t="n"/>
      <c r="V676" s="2" t="n"/>
      <c r="W676" s="2" t="n"/>
      <c r="X676" s="2" t="n"/>
    </row>
    <row r="677">
      <c r="T677" s="1" t="n"/>
      <c r="U677" s="2" t="n"/>
      <c r="V677" s="2" t="n"/>
      <c r="W677" s="2" t="n"/>
      <c r="X677" s="2" t="n"/>
    </row>
  </sheetData>
  <mergeCells count="9">
    <mergeCell ref="Q1:R1"/>
    <mergeCell ref="C1:D1"/>
    <mergeCell ref="E1:F1"/>
    <mergeCell ref="S1:T1"/>
    <mergeCell ref="W1:X1"/>
    <mergeCell ref="U1:V1"/>
    <mergeCell ref="O1:P1"/>
    <mergeCell ref="A1:B1"/>
    <mergeCell ref="M1:N1"/>
  </mergeCells>
  <pageMargins left="0.7" right="0.7" top="0.75" bottom="0.75" header="0.3" footer="0.3"/>
  <pageSetup orientation="portrait"/>
</worksheet>
</file>

<file path=xl/worksheets/sheet14.xml><?xml version="1.0" encoding="utf-8"?>
<worksheet xmlns="http://schemas.openxmlformats.org/spreadsheetml/2006/main">
  <sheetPr>
    <outlinePr summaryBelow="1" summaryRight="1"/>
    <pageSetUpPr/>
  </sheetPr>
  <dimension ref="A1:G59"/>
  <sheetViews>
    <sheetView workbookViewId="0">
      <selection activeCell="E11" sqref="E11"/>
    </sheetView>
  </sheetViews>
  <sheetFormatPr baseColWidth="8" defaultColWidth="11.42578125" defaultRowHeight="14.45"/>
  <cols>
    <col width="41.7109375" bestFit="1" customWidth="1" min="3" max="3"/>
    <col width="37.7109375" bestFit="1" customWidth="1" min="7" max="7"/>
  </cols>
  <sheetData>
    <row r="1" ht="15.6" customHeight="1">
      <c r="B1" s="320" t="inlineStr">
        <is>
          <t>ANALISTAS</t>
        </is>
      </c>
      <c r="C1" s="360" t="n"/>
      <c r="G1" s="117" t="inlineStr">
        <is>
          <t>AREAS</t>
        </is>
      </c>
    </row>
    <row r="2" ht="15" customHeight="1" thickBot="1">
      <c r="B2" s="361" t="n"/>
      <c r="C2" s="362" t="n"/>
      <c r="G2" s="118" t="inlineStr">
        <is>
          <t>ALMACENAMIENTO</t>
        </is>
      </c>
    </row>
    <row r="3" ht="15.6" customHeight="1">
      <c r="A3" s="117" t="inlineStr">
        <is>
          <t>MAÑANA</t>
        </is>
      </c>
      <c r="B3" s="117" t="n"/>
      <c r="C3" s="117" t="n"/>
      <c r="G3" s="118" t="inlineStr">
        <is>
          <t>APLICACIONES</t>
        </is>
      </c>
    </row>
    <row r="4">
      <c r="B4" s="324" t="n"/>
      <c r="C4" s="115" t="inlineStr">
        <is>
          <t>Anderson Garcia Cataño / 06:00 - 14:00</t>
        </is>
      </c>
      <c r="G4" s="118" t="inlineStr">
        <is>
          <t>BACKUP</t>
        </is>
      </c>
    </row>
    <row r="5">
      <c r="B5" s="348" t="n"/>
      <c r="C5" s="115" t="inlineStr">
        <is>
          <t>Andres Matinez Hincapie / 06:00 - 14:00</t>
        </is>
      </c>
      <c r="G5" s="118" t="inlineStr">
        <is>
          <t>BASE DE DATOS</t>
        </is>
      </c>
    </row>
    <row r="6">
      <c r="B6" s="348" t="n"/>
      <c r="C6" s="115" t="inlineStr">
        <is>
          <t>Julián David Cataño Sierra / 06:00 - 14:00</t>
        </is>
      </c>
      <c r="G6" s="118" t="inlineStr">
        <is>
          <t>SEGURIDAD INFORMATICA</t>
        </is>
      </c>
    </row>
    <row r="7">
      <c r="B7" s="348" t="n"/>
      <c r="C7" s="115" t="inlineStr">
        <is>
          <t>Carlos Andrés Botero Ríos / 06:00 - 14:00</t>
        </is>
      </c>
      <c r="G7" s="118" t="inlineStr">
        <is>
          <t>SERVIDORES</t>
        </is>
      </c>
    </row>
    <row r="8" ht="15" customHeight="1" thickBot="1">
      <c r="B8" s="363" t="n"/>
      <c r="C8" s="115" t="inlineStr">
        <is>
          <t xml:space="preserve"> Roman Echavarría Meneses/ 06:00 - 14:00</t>
        </is>
      </c>
      <c r="G8" s="118" t="inlineStr">
        <is>
          <t>SOPORTE GIS</t>
        </is>
      </c>
    </row>
    <row r="9" ht="15.6" customHeight="1">
      <c r="A9" s="117" t="inlineStr">
        <is>
          <t>TARDE</t>
        </is>
      </c>
      <c r="B9" s="324" t="n"/>
      <c r="C9" s="115" t="inlineStr">
        <is>
          <t>Anderson Garcia Cataño / 14:00 - 22:00</t>
        </is>
      </c>
      <c r="G9" s="118" t="inlineStr">
        <is>
          <t>TELECOMUNICACIONES</t>
        </is>
      </c>
    </row>
    <row r="10">
      <c r="B10" s="348" t="n"/>
      <c r="C10" s="115" t="inlineStr">
        <is>
          <t>Andres Matinez Hincapie / 14:00 - 22:00</t>
        </is>
      </c>
      <c r="G10" s="118" t="n"/>
    </row>
    <row r="11">
      <c r="B11" s="348" t="n"/>
      <c r="C11" s="115" t="inlineStr">
        <is>
          <t>Julián David Cataño Sierra / 14:00 - 22:00</t>
        </is>
      </c>
      <c r="G11" s="118" t="n"/>
    </row>
    <row r="12">
      <c r="B12" s="348" t="n"/>
      <c r="C12" s="115" t="inlineStr">
        <is>
          <t>Carlos Andrés Botero Ríos / 14:00 - 22:00</t>
        </is>
      </c>
      <c r="G12" s="118" t="n"/>
    </row>
    <row r="13" ht="15" customHeight="1" thickBot="1">
      <c r="B13" s="363" t="n"/>
      <c r="C13" s="115" t="inlineStr">
        <is>
          <t>Roman Echavarría Meneses / 14:00 - 22:00</t>
        </is>
      </c>
      <c r="G13" s="118" t="n"/>
    </row>
    <row r="14" ht="15.6" customHeight="1">
      <c r="A14" s="117" t="inlineStr">
        <is>
          <t>NOCHE</t>
        </is>
      </c>
      <c r="B14" s="364" t="n"/>
      <c r="C14" s="115" t="inlineStr">
        <is>
          <t>Anderson Garcia Cataño / 22:00 - 06:00</t>
        </is>
      </c>
      <c r="G14" s="118" t="n"/>
    </row>
    <row r="15">
      <c r="B15" s="348" t="n"/>
      <c r="C15" s="115" t="inlineStr">
        <is>
          <t>Andres Matinez Hincapie / 22:00 - 06:00</t>
        </is>
      </c>
      <c r="G15" s="118" t="n"/>
    </row>
    <row r="16">
      <c r="B16" s="348" t="n"/>
      <c r="C16" s="115" t="inlineStr">
        <is>
          <t>Julián David Cataño Sierra / 22:00 - 06:00</t>
        </is>
      </c>
      <c r="G16" s="118" t="n"/>
    </row>
    <row r="17" ht="15" customHeight="1" thickBot="1">
      <c r="B17" s="348" t="n"/>
      <c r="C17" s="116" t="inlineStr">
        <is>
          <t>Carlos Andrés Botero Ríos / 22:00 - 06:00</t>
        </is>
      </c>
      <c r="G17" s="118" t="n"/>
    </row>
    <row r="18" ht="15" customHeight="1" thickBot="1">
      <c r="B18" s="350" t="n"/>
      <c r="C18" s="115" t="inlineStr">
        <is>
          <t>Roman Echavarría Meneses / 22:00 - 06:00</t>
        </is>
      </c>
      <c r="G18" s="118" t="n"/>
    </row>
    <row r="19">
      <c r="B19" s="231" t="n"/>
      <c r="G19" s="118" t="n"/>
    </row>
    <row r="20" ht="15" customHeight="1" thickBot="1">
      <c r="G20" s="118" t="n"/>
    </row>
    <row r="21" ht="15.95" customHeight="1" thickBot="1">
      <c r="C21" s="117" t="inlineStr">
        <is>
          <t>CAUSA</t>
        </is>
      </c>
      <c r="G21" s="119" t="n"/>
    </row>
    <row r="22">
      <c r="C22" s="118" t="n"/>
    </row>
    <row r="23">
      <c r="C23" s="118" t="inlineStr">
        <is>
          <t>AP bloqueado</t>
        </is>
      </c>
    </row>
    <row r="24">
      <c r="C24" s="118" t="inlineStr">
        <is>
          <t>AP Desconectado del punto de red</t>
        </is>
      </c>
    </row>
    <row r="25">
      <c r="C25" s="118" t="inlineStr">
        <is>
          <t>AP's Desconectados</t>
        </is>
      </c>
    </row>
    <row r="26">
      <c r="C26" s="118" t="inlineStr">
        <is>
          <t>Bloqueo de Sw</t>
        </is>
      </c>
    </row>
    <row r="27">
      <c r="C27" s="118" t="inlineStr">
        <is>
          <t xml:space="preserve">Corte en el cableado </t>
        </is>
      </c>
    </row>
    <row r="28">
      <c r="C28" s="118" t="inlineStr">
        <is>
          <t>Falla certificado SSL</t>
        </is>
      </c>
    </row>
    <row r="29">
      <c r="C29" s="118" t="inlineStr">
        <is>
          <t>Falla eléctrica</t>
        </is>
      </c>
    </row>
    <row r="30">
      <c r="C30" s="118" t="inlineStr">
        <is>
          <t>Falla en puerto troncal</t>
        </is>
      </c>
    </row>
    <row r="31">
      <c r="C31" s="118" t="inlineStr">
        <is>
          <t xml:space="preserve">Falla en switch </t>
        </is>
      </c>
    </row>
    <row r="32">
      <c r="C32" s="118" t="inlineStr">
        <is>
          <t>Falla L2 de Sw</t>
        </is>
      </c>
    </row>
    <row r="33">
      <c r="C33" s="118" t="inlineStr">
        <is>
          <t>Inundación rack</t>
        </is>
      </c>
    </row>
    <row r="34">
      <c r="C34" s="233" t="inlineStr">
        <is>
          <t>Lentitud en la red Lan</t>
        </is>
      </c>
    </row>
    <row r="35">
      <c r="C35" s="118" t="inlineStr">
        <is>
          <t>Mantenimiento programado</t>
        </is>
      </c>
    </row>
    <row r="36">
      <c r="C36" s="118" t="inlineStr">
        <is>
          <t>Loop en la red LAN</t>
        </is>
      </c>
    </row>
    <row r="37">
      <c r="C37" s="118" t="inlineStr">
        <is>
          <t>POE Quemado</t>
        </is>
      </c>
    </row>
    <row r="38">
      <c r="C38" s="118" t="inlineStr">
        <is>
          <t>ONT apagado</t>
        </is>
      </c>
    </row>
    <row r="39">
      <c r="C39" s="118" t="inlineStr">
        <is>
          <t xml:space="preserve">Radio bloqueado </t>
        </is>
      </c>
    </row>
    <row r="40">
      <c r="C40" s="118" t="inlineStr">
        <is>
          <t>Retiro de AP</t>
        </is>
      </c>
    </row>
    <row r="41">
      <c r="C41" s="118" t="inlineStr">
        <is>
          <t>Retiro de Sw</t>
        </is>
      </c>
    </row>
    <row r="42">
      <c r="C42" s="118" t="inlineStr">
        <is>
          <t>Retiro del servicio Tigo</t>
        </is>
      </c>
    </row>
    <row r="43">
      <c r="C43" s="118" t="inlineStr">
        <is>
          <t>Segmentacion Vlan</t>
        </is>
      </c>
    </row>
    <row r="44">
      <c r="C44" s="118" t="inlineStr">
        <is>
          <t>Stack bloqueado</t>
        </is>
      </c>
    </row>
    <row r="45">
      <c r="C45" s="118" t="inlineStr">
        <is>
          <t>Suspendido</t>
        </is>
      </c>
    </row>
    <row r="46">
      <c r="C46" s="118" t="inlineStr">
        <is>
          <t>Suspensión temporal del servicio SDWAN</t>
        </is>
      </c>
    </row>
    <row r="47">
      <c r="C47" s="258" t="inlineStr">
        <is>
          <t>Sw con puertos malos y desconfigurado</t>
        </is>
      </c>
    </row>
    <row r="48">
      <c r="C48" s="118" t="inlineStr">
        <is>
          <t>Traslado de Sede</t>
        </is>
      </c>
    </row>
    <row r="49" ht="15" customHeight="1" thickBot="1"/>
    <row r="50" ht="15.6" customHeight="1">
      <c r="C50" s="117" t="inlineStr">
        <is>
          <t>CAUSA</t>
        </is>
      </c>
    </row>
    <row r="51" ht="15.6" customFormat="1" customHeight="1" s="232">
      <c r="C51" s="118" t="n"/>
    </row>
    <row r="52">
      <c r="C52" s="118" t="inlineStr">
        <is>
          <t xml:space="preserve">Actualizacion del kernel </t>
        </is>
      </c>
    </row>
    <row r="53">
      <c r="C53" s="118" t="inlineStr">
        <is>
          <t xml:space="preserve">Alerta critica espacio en disco servidor </t>
        </is>
      </c>
    </row>
    <row r="54">
      <c r="C54" s="118" t="inlineStr">
        <is>
          <t>Alerta de espacio de disco lleno</t>
        </is>
      </c>
    </row>
    <row r="55">
      <c r="C55" s="118" t="inlineStr">
        <is>
          <t>Bloqueo</t>
        </is>
      </c>
    </row>
    <row r="56">
      <c r="C56" s="118" t="inlineStr">
        <is>
          <t>Desconexion</t>
        </is>
      </c>
    </row>
    <row r="57">
      <c r="C57" s="118" t="inlineStr">
        <is>
          <t>Intermitencia</t>
        </is>
      </c>
    </row>
    <row r="58" ht="15" customHeight="1" thickBot="1">
      <c r="C58" s="119" t="inlineStr">
        <is>
          <t>Reinicio de servidores</t>
        </is>
      </c>
    </row>
    <row r="59" ht="15" customHeight="1" thickBot="1">
      <c r="C59" s="119" t="inlineStr">
        <is>
          <t>Crear Snapshot</t>
        </is>
      </c>
    </row>
  </sheetData>
  <mergeCells count="5">
    <mergeCell ref="B2:C2"/>
    <mergeCell ref="B14:B18"/>
    <mergeCell ref="B9:B13"/>
    <mergeCell ref="B4:B8"/>
    <mergeCell ref="B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2013-04-29T21:39:22Z</dcterms:created>
  <dcterms:modified xmlns:dcterms="http://purl.org/dc/terms/" xmlns:xsi="http://www.w3.org/2001/XMLSchema-instance" xsi:type="dcterms:W3CDTF">2026-08-31T16:30:26Z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0x0101005006A33A57229A4D948E8C784D337E15</vt:lpwstr>
  </property>
</Properties>
</file>